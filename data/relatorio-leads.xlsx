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  <sheet state="visible" name="Dashboard" sheetId="2" r:id="rId5"/>
    <sheet state="visible" name="Interessados em analise" sheetId="3" r:id="rId6"/>
  </sheets>
  <definedNames/>
  <calcPr/>
  <extLst>
    <ext uri="GoogleSheetsCustomDataVersion2">
      <go:sheetsCustomData xmlns:go="http://customooxmlschemas.google.com/" r:id="rId7" roundtripDataChecksum="2elAVRIbBkRlrYxKX4ox8UXr4fp4D3qoLck5Ors+SOs="/>
    </ext>
  </extLst>
</workbook>
</file>

<file path=xl/sharedStrings.xml><?xml version="1.0" encoding="utf-8"?>
<sst xmlns="http://schemas.openxmlformats.org/spreadsheetml/2006/main" count="285" uniqueCount="29">
  <si>
    <t>AVISO</t>
  </si>
  <si>
    <t>Total Interessados</t>
  </si>
  <si>
    <t>Interessados em analise</t>
  </si>
  <si>
    <t>Data</t>
  </si>
  <si>
    <t>Descrição</t>
  </si>
  <si>
    <t>Total Comprou</t>
  </si>
  <si>
    <t>Total Perdidos</t>
  </si>
  <si>
    <t>Total Sem Retorno</t>
  </si>
  <si>
    <t>Total Geral</t>
  </si>
  <si>
    <t>Taxa de Interesse</t>
  </si>
  <si>
    <t>Dias</t>
  </si>
  <si>
    <t>Quantidade Por dias</t>
  </si>
  <si>
    <t>interessados</t>
  </si>
  <si>
    <t>#</t>
  </si>
  <si>
    <t>Comprou</t>
  </si>
  <si>
    <t>Interessado mas sem resposta</t>
  </si>
  <si>
    <t>Compra Futura</t>
  </si>
  <si>
    <t>Sem Retorno</t>
  </si>
  <si>
    <t>Perdidos</t>
  </si>
  <si>
    <t>Orçamento insuficiente</t>
  </si>
  <si>
    <t>O produto não se encaixa à necessidade</t>
  </si>
  <si>
    <t>Não satisfeito com as condições</t>
  </si>
  <si>
    <t>Comprado do concorrente</t>
  </si>
  <si>
    <t>Currículo (busca de emprego)</t>
  </si>
  <si>
    <t>Fora da região</t>
  </si>
  <si>
    <t>Engano</t>
  </si>
  <si>
    <t>Outros (Não contabilizado aos leads)</t>
  </si>
  <si>
    <t xml:space="preserve">Obs: O icone ❌ indica que tem um lead em analise por interesse </t>
  </si>
  <si>
    <t xml:space="preserve">Obs: O icone ✅ indica que todos os leads do dia estão na tabela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</si>
</sst>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m&quot; &quot;"/>
  </numFmts>
  <fonts count="11">
    <font>
      <sz val="11.0"/>
      <color theme="1"/>
      <name val="Aptos Narrow"/>
      <scheme val="minor"/>
    </font>
    <font>
      <b/>
      <color theme="1"/>
      <name val="Arial"/>
    </font>
    <font>
      <color theme="1"/>
      <name val="Arial"/>
    </font>
    <font>
      <color theme="1"/>
      <name val="Aptos Narrow"/>
      <scheme val="minor"/>
    </font>
    <font>
      <b/>
      <color rgb="FFFF0000"/>
      <name val="Aptos Narrow"/>
      <scheme val="minor"/>
    </font>
    <font>
      <b/>
      <color rgb="FFFF0000"/>
      <name val="Arial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FF0000"/>
      <name val="Aptos Narrow"/>
    </font>
  </fonts>
  <fills count="1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45818E"/>
        <bgColor rgb="FF45818E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CAEDFB"/>
        <bgColor rgb="FFCAEDFB"/>
      </patternFill>
    </fill>
    <fill>
      <patternFill patternType="solid">
        <fgColor theme="9"/>
        <bgColor theme="9"/>
      </patternFill>
    </fill>
    <fill>
      <patternFill patternType="solid">
        <fgColor rgb="FF38761D"/>
        <bgColor rgb="FF38761D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rgb="FFC00000"/>
        <bgColor rgb="FFC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1" numFmtId="0" xfId="0" applyAlignment="1" applyBorder="1" applyFill="1" applyFont="1">
      <alignment horizontal="center" readingOrder="0"/>
    </xf>
    <xf borderId="2" fillId="4" fontId="1" numFmtId="0" xfId="0" applyAlignment="1" applyBorder="1" applyFill="1" applyFont="1">
      <alignment horizontal="center" readingOrder="0"/>
    </xf>
    <xf borderId="2" fillId="5" fontId="2" numFmtId="0" xfId="0" applyAlignment="1" applyBorder="1" applyFill="1" applyFont="1">
      <alignment horizontal="center" readingOrder="0"/>
    </xf>
    <xf borderId="2" fillId="5" fontId="2" numFmtId="164" xfId="0" applyAlignment="1" applyBorder="1" applyFill="1" applyFont="1" applyNumberFormat="1">
      <alignment horizontal="center" readingOrder="0"/>
    </xf>
    <xf borderId="0" fillId="0" fontId="2" numFmtId="0" xfId="0" applyAlignment="1" applyFont="1">
      <alignment readingOrder="0" shrinkToFit="0" wrapText="1"/>
    </xf>
    <xf borderId="2" fillId="5" fontId="3" numFmtId="0" xfId="0" applyAlignment="1" applyBorder="1" applyFill="1" applyFont="1">
      <alignment horizontal="center"/>
    </xf>
    <xf borderId="2" fillId="5" fontId="3" numFmtId="164" xfId="0" applyAlignment="1" applyBorder="1" applyFill="1" applyFont="1" applyNumberFormat="1">
      <alignment horizontal="center"/>
    </xf>
    <xf borderId="2" fillId="4" fontId="4" numFmtId="0" xfId="0" applyAlignment="1" applyBorder="1" applyFill="1" applyFont="1">
      <alignment horizontal="center"/>
    </xf>
    <xf borderId="1" fillId="6" fontId="2" numFmtId="0" xfId="0" applyAlignment="1" applyBorder="1" applyFill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2" fillId="6" fontId="3" numFmtId="0" xfId="0" applyAlignment="1" applyBorder="1" applyFill="1" applyFont="1">
      <alignment horizontal="center"/>
    </xf>
    <xf borderId="2" fillId="0" fontId="3" numFmtId="0" xfId="0" applyAlignment="1" applyBorder="1" applyFont="1">
      <alignment horizontal="center"/>
    </xf>
    <xf borderId="2" fillId="6" fontId="3" numFmtId="10" xfId="0" applyAlignment="1" applyBorder="1" applyFill="1" applyFont="1" applyNumberFormat="1">
      <alignment horizontal="center"/>
    </xf>
    <xf borderId="0" fillId="0" fontId="2" numFmtId="0" xfId="0" applyAlignment="1" applyFont="1">
      <alignment readingOrder="0"/>
    </xf>
    <xf borderId="0" fillId="0" fontId="3" numFmtId="10" xfId="0" applyFont="1" applyNumberFormat="1"/>
    <xf borderId="2" fillId="4" fontId="5" numFmtId="0" xfId="0" applyAlignment="1" applyBorder="1" applyFill="1" applyFont="1">
      <alignment horizontal="center" readingOrder="0"/>
    </xf>
    <xf borderId="3" fillId="7" fontId="6" numFmtId="0" xfId="0" applyAlignment="1" applyBorder="1" applyFill="1" applyFont="1">
      <alignment horizontal="center"/>
    </xf>
    <xf borderId="4" fillId="7" fontId="7" numFmtId="0" xfId="0" applyAlignment="1" applyBorder="1" applyFill="1" applyFont="1">
      <alignment horizontal="center"/>
    </xf>
    <xf borderId="5" fillId="7" fontId="7" numFmtId="0" xfId="0" applyAlignment="1" applyBorder="1" applyFill="1" applyFont="1">
      <alignment horizontal="center"/>
    </xf>
    <xf borderId="6" fillId="8" fontId="6" numFmtId="0" xfId="0" applyAlignment="1" applyBorder="1" applyFill="1" applyFont="1">
      <alignment horizontal="center"/>
    </xf>
    <xf borderId="6" fillId="0" fontId="8" numFmtId="164" xfId="0" applyAlignment="1" applyBorder="1" applyFont="1" applyNumberFormat="1">
      <alignment horizontal="center" readingOrder="0"/>
    </xf>
    <xf borderId="6" fillId="0" fontId="8" numFmtId="164" xfId="0" applyAlignment="1" applyBorder="1" applyFont="1" applyNumberFormat="1">
      <alignment horizontal="center" readingOrder="0"/>
    </xf>
    <xf borderId="6" fillId="0" fontId="7" numFmtId="0" xfId="0" applyAlignment="1" applyBorder="1" applyFont="1">
      <alignment horizontal="center"/>
    </xf>
    <xf borderId="1" fillId="9" fontId="6" numFmtId="0" xfId="0" applyAlignment="1" applyBorder="1" applyFill="1" applyFont="1">
      <alignment horizontal="center"/>
    </xf>
    <xf borderId="1" fillId="0" fontId="8" numFmtId="0" xfId="0" applyAlignment="1" applyBorder="1" applyFont="1">
      <alignment horizontal="center" readingOrder="0"/>
    </xf>
    <xf borderId="2" fillId="10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7" fillId="10" fontId="1" numFmtId="0" xfId="0" applyAlignment="1" applyBorder="1" applyFill="1" applyFont="1">
      <alignment horizontal="center" readingOrder="0"/>
    </xf>
    <xf borderId="7" fillId="0" fontId="2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/>
    </xf>
    <xf borderId="6" fillId="11" fontId="9" numFmtId="0" xfId="0" applyAlignment="1" applyBorder="1" applyFill="1" applyFont="1">
      <alignment horizontal="center" readingOrder="0"/>
    </xf>
    <xf borderId="6" fillId="0" fontId="8" numFmtId="0" xfId="0" applyAlignment="1" applyBorder="1" applyFont="1">
      <alignment horizontal="center" readingOrder="0"/>
    </xf>
    <xf borderId="1" fillId="12" fontId="6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center"/>
    </xf>
    <xf borderId="2" fillId="13" fontId="6" numFmtId="0" xfId="0" applyAlignment="1" applyBorder="1" applyFill="1" applyFont="1">
      <alignment horizontal="center"/>
    </xf>
    <xf borderId="2" fillId="0" fontId="8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/>
    </xf>
    <xf borderId="7" fillId="13" fontId="9" numFmtId="0" xfId="0" applyAlignment="1" applyBorder="1" applyFill="1" applyFont="1">
      <alignment horizontal="center" readingOrder="0"/>
    </xf>
    <xf borderId="7" fillId="0" fontId="7" numFmtId="0" xfId="0" applyAlignment="1" applyBorder="1" applyFont="1">
      <alignment horizontal="center"/>
    </xf>
    <xf borderId="7" fillId="0" fontId="8" numFmtId="0" xfId="0" applyAlignment="1" applyBorder="1" applyFont="1">
      <alignment horizontal="center" readingOrder="0"/>
    </xf>
    <xf borderId="3" fillId="7" fontId="7" numFmtId="0" xfId="0" applyAlignment="1" applyBorder="1" applyFill="1" applyFont="1">
      <alignment horizontal="center"/>
    </xf>
    <xf borderId="0" fillId="0" fontId="1" numFmtId="0" xfId="0" applyAlignment="1" applyFont="1">
      <alignment readingOrder="0" shrinkToFit="0" wrapText="1"/>
    </xf>
    <xf borderId="2" fillId="4" fontId="10" numFmtId="0" xfId="0" applyAlignment="1" applyBorder="1" applyFill="1" applyFont="1">
      <alignment horizontal="center" vertical="bottom"/>
    </xf>
    <xf borderId="4" fillId="7" fontId="7" numFmtId="0" xfId="0" applyAlignment="1" applyBorder="1" applyFill="1" applyFont="1">
      <alignment vertical="bottom"/>
    </xf>
    <xf borderId="5" fillId="7" fontId="7" numFmtId="0" xfId="0" applyAlignment="1" applyBorder="1" applyFill="1" applyFont="1">
      <alignment vertical="bottom"/>
    </xf>
    <xf borderId="6" fillId="0" fontId="8" numFmtId="164" xfId="0" applyAlignment="1" applyBorder="1" applyFont="1" applyNumberFormat="1">
      <alignment horizontal="center" readingOrder="0" vertical="bottom"/>
    </xf>
    <xf borderId="6" fillId="0" fontId="7" numFmtId="0" xfId="0" applyAlignment="1" applyBorder="1" applyFont="1">
      <alignment horizontal="center" vertical="bottom"/>
    </xf>
    <xf borderId="4" fillId="7" fontId="7" numFmtId="0" xfId="0" applyAlignment="1" applyBorder="1" applyFill="1" applyFont="1">
      <alignment horizontal="center" vertical="bottom"/>
    </xf>
    <xf borderId="5" fillId="7" fontId="7" numFmtId="0" xfId="0" applyAlignment="1" applyBorder="1" applyFill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center" vertical="bottom"/>
    </xf>
    <xf borderId="2" fillId="0" fontId="8" numFmtId="0" xfId="0" applyAlignment="1" applyBorder="1" applyFont="1">
      <alignment horizontal="center" vertical="bottom"/>
    </xf>
    <xf borderId="2" fillId="0" fontId="8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>
        <b/>
        <color rgb="FF00FF00"/>
      </font>
      <fill>
        <patternFill patternType="solid">
          <fgColor rgb="FFFFFF00"/>
          <bgColor rgb="FFFFFF00"/>
        </patternFill>
      </fill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7.0"/>
    <col customWidth="1" min="2" max="38" width="8.63"/>
  </cols>
  <sheetData>
    <row r="1">
      <c r="A1" s="3" t="s">
        <v>0</v>
      </c>
      <c r="B1" s="9" t="str">
        <f>IF(COUNTIF('Interessados em analise'!B2:B18,B3)=0,"✅",COUNTIF('Interessados em analise'!B2:B18,B3)&amp;"❌")</f>
        <v>✅</v>
      </c>
      <c r="C1" s="9" t="str">
        <f>IF(COUNTIF('Interessados em analise'!B2:B18,C3)=0,"✅",COUNTIF('Interessados em analise'!B2:B18,C3)&amp;"❌")</f>
        <v>✅</v>
      </c>
      <c r="D1" s="9" t="str">
        <f>IF(COUNTIF('Interessados em analise'!B2:B18,D3)=0,"✅",COUNTIF('Interessados em analise'!B2:B18,D3)&amp;"❌")</f>
        <v>✅</v>
      </c>
      <c r="E1" s="9" t="str">
        <f>IF(COUNTIF('Interessados em analise'!B2:B18,E3)=0,"✅",COUNTIF('Interessados em analise'!B2:B18,E3)&amp;"❌")</f>
        <v>✅</v>
      </c>
      <c r="F1" s="9" t="str">
        <f>IF(COUNTIF('Interessados em analise'!B2:B18,F3)=0,"✅",COUNTIF('Interessados em analise'!B2:B18,F3)&amp;"❌")</f>
        <v>✅</v>
      </c>
      <c r="G1" s="9" t="str">
        <f>IF(COUNTIF('Interessados em analise'!B2:B18,G3)=0,"✅",COUNTIF('Interessados em analise'!B2:B18,G3)&amp;"❌")</f>
        <v>✅</v>
      </c>
      <c r="H1" s="9" t="str">
        <f>IF(COUNTIF('Interessados em analise'!B2:B18,H3)=0,"✅",COUNTIF('Interessados em analise'!B2:B18,H3)&amp;"❌")</f>
        <v>✅</v>
      </c>
      <c r="I1" s="9" t="str">
        <f>IF(COUNTIF('Interessados em analise'!B2:B18,I3)=0,"✅",COUNTIF('Interessados em analise'!B2:B18,I3)&amp;"❌")</f>
        <v>✅</v>
      </c>
      <c r="J1" s="9" t="str">
        <f>IF(COUNTIF('Interessados em analise'!B2:B18,J3)=0,"✅",COUNTIF('Interessados em analise'!B2:B18,J3)&amp;"❌")</f>
        <v>✅</v>
      </c>
      <c r="K1" s="9" t="str">
        <f>IF(COUNTIF('Interessados em analise'!B2:B18,K3)=0,"✅",COUNTIF('Interessados em analise'!B2:B18,K3)&amp;"❌")</f>
        <v>✅</v>
      </c>
      <c r="L1" s="9" t="str">
        <f>IF(COUNTIF('Interessados em analise'!B2:B18,L3)=0,"✅",COUNTIF('Interessados em analise'!B2:B18,L3)&amp;"❌")</f>
        <v>✅</v>
      </c>
      <c r="M1" s="9" t="str">
        <f>IF(COUNTIF('Interessados em analise'!B2:B18,M3)=0,"✅",COUNTIF('Interessados em analise'!B2:B18,M3)&amp;"❌")</f>
        <v>✅</v>
      </c>
      <c r="N1" s="9" t="str">
        <f>IF(COUNTIF('Interessados em analise'!B2:B18,N3)=0,"✅",COUNTIF('Interessados em analise'!B2:B18,N3)&amp;"❌")</f>
        <v>✅</v>
      </c>
      <c r="O1" s="9" t="str">
        <f>IF(COUNTIF('Interessados em analise'!B2:B18,O3)=0,"✅",COUNTIF('Interessados em analise'!B2:B18,O3)&amp;"❌")</f>
        <v>✅</v>
      </c>
      <c r="P1" s="9" t="str">
        <f>IF(COUNTIF('Interessados em analise'!B2:B18,P3)=0,"✅",COUNTIF('Interessados em analise'!B2:B18,P3)&amp;"❌")</f>
        <v>✅</v>
      </c>
      <c r="Q1" s="9" t="str">
        <f>IF(COUNTIF('Interessados em analise'!B2:B18,Q3)=0,"✅",COUNTIF('Interessados em analise'!B2:B18,Q3)&amp;"❌")</f>
        <v>✅</v>
      </c>
      <c r="R1" s="17" t="str">
        <f>IF(COUNTIF('Interessados em analise'!B2:B18,R3)=0,"✅",COUNTIF('Interessados em analise'!B2:B18,R3)&amp;"❌")</f>
        <v>✅</v>
      </c>
      <c r="S1" s="9" t="str">
        <f>IF(COUNTIF('Interessados em analise'!B2:B18,S3)=0,"✅",COUNTIF('Interessados em analise'!B2:B18,S3)&amp;"❌")</f>
        <v>✅</v>
      </c>
      <c r="T1" s="9" t="str">
        <f>IF(COUNTIF('Interessados em analise'!B2:B18,T3)=0,"✅",COUNTIF('Interessados em analise'!B2:B18,T3)&amp;"❌")</f>
        <v>✅</v>
      </c>
      <c r="U1" s="9" t="str">
        <f>IF(COUNTIF('Interessados em analise'!B2:B18,U3)=0,"✅",COUNTIF('Interessados em analise'!B2:B18,U3)&amp;"❌")</f>
        <v>✅</v>
      </c>
      <c r="V1" s="9" t="str">
        <f>IF(COUNTIF('Interessados em analise'!B2:B18,V3)=0,"✅",COUNTIF('Interessados em analise'!B2:B18,V3)&amp;"❌")</f>
        <v>✅</v>
      </c>
      <c r="W1" s="9" t="str">
        <f>IF(COUNTIF('Interessados em analise'!B2:B18,W3)=0,"✅",COUNTIF('Interessados em analise'!B2:B18,W3)&amp;"❌")</f>
        <v>✅</v>
      </c>
      <c r="X1" s="9" t="str">
        <f>IF(COUNTIF('Interessados em analise'!B2:B18,X3)=0,"✅",COUNTIF('Interessados em analise'!B2:B18,X3)&amp;"❌")</f>
        <v>✅</v>
      </c>
      <c r="Y1" s="9" t="str">
        <f>IF(COUNTIF('Interessados em analise'!B2:B18,Y3)=0,"✅",COUNTIF('Interessados em analise'!B2:B18,Y3)&amp;"❌")</f>
        <v>✅</v>
      </c>
      <c r="Z1" s="9" t="str">
        <f>IF(COUNTIF('Interessados em analise'!B2:B18,Z3)=0,"✅",COUNTIF('Interessados em analise'!B2:B18,Z3)&amp;"❌")</f>
        <v>✅</v>
      </c>
      <c r="AA1" s="9" t="str">
        <f>IF(COUNTIF('Interessados em analise'!B2:B18,AA3)=0,"✅",COUNTIF('Interessados em analise'!B2:B18,AA3)&amp;"❌")</f>
        <v>✅</v>
      </c>
      <c r="AB1" s="9" t="str">
        <f>IF(COUNTIF('Interessados em analise'!B2:B18,AB3)=0,"✅",COUNTIF('Interessados em analise'!B2:B18,AB3)&amp;"❌")</f>
        <v>✅</v>
      </c>
      <c r="AC1" s="9" t="str">
        <f>IF(COUNTIF('Interessados em analise'!B2:B18,AC3)=0,"✅",COUNTIF('Interessados em analise'!B2:B18,AC3)&amp;"❌")</f>
        <v>✅</v>
      </c>
      <c r="AD1" s="9" t="str">
        <f>IF(COUNTIF('Interessados em analise'!B2:B18,AD3)=0,"✅",COUNTIF('Interessados em analise'!B2:B18,AD3)&amp;"❌")</f>
        <v>✅</v>
      </c>
      <c r="AE1" s="9" t="str">
        <f>IF(COUNTIF('Interessados em analise'!B2:B18,AE3)=0,"✅",COUNTIF('Interessados em analise'!B2:B18,AE3)&amp;"❌")</f>
        <v>✅</v>
      </c>
      <c r="AF1" s="9" t="str">
        <f>IF(COUNTIF('Interessados em analise'!B2:B18,AF3)=0,"✅",COUNTIF('Interessados em analise'!B2:B18,AF3)&amp;"❌")</f>
        <v>✅</v>
      </c>
      <c r="AG1" s="9" t="str">
        <f>IF(COUNTIF('Interessados em analise'!B2:$B1000,AG3)=0,"✅",COUNTIF('Interessados em analise'!B2:$B1000,AG3)&amp;"❌")</f>
        <v>✅</v>
      </c>
      <c r="AH1" s="9" t="str">
        <f>IF(COUNTIF('Interessados em analise'!B2:$B1000,AH3)=0,"✅",COUNTIF('Interessados em analise'!B2:$B1000,AH3)&amp;"❌")</f>
        <v>✅</v>
      </c>
      <c r="AI1" s="9" t="str">
        <f>IF(COUNTIF('Interessados em analise'!B2:$B1000,AI3)=0,"✅",COUNTIF('Interessados em analise'!B2:$B1000,AI3)&amp;"❌")</f>
        <v>✅</v>
      </c>
      <c r="AJ1" s="9" t="str">
        <f>IF(COUNTIF('Interessados em analise'!$B2:$B1000,AJ3)=0,"✅",COUNTIF('Interessados em analise'!$B2:$B1000,AJ3)&amp;"❌")</f>
        <v>✅</v>
      </c>
      <c r="AK1" s="9" t="str">
        <f>IF(COUNTIF('Interessados em analise'!$B2:$B1000,AK3)=0,"✅",COUNTIF('Interessados em analise'!$B2:$B1000,AK3)&amp;"❌")</f>
        <v>✅</v>
      </c>
      <c r="AL1" s="9" t="str">
        <f>IF(COUNTIF('Interessados em analise'!$B2:$B1000,AL3)=0,"✅",COUNTIF('Interessados em analise'!$B2:$B1000,AL3)&amp;"❌")</f>
        <v>✅</v>
      </c>
    </row>
    <row r="2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</row>
    <row r="3">
      <c r="A3" s="21" t="s">
        <v>10</v>
      </c>
      <c r="B3" s="22">
        <v>46196.0</v>
      </c>
      <c r="C3" s="22">
        <v>46197.0</v>
      </c>
      <c r="D3" s="22">
        <v>46198.0</v>
      </c>
      <c r="E3" s="22">
        <v>46199.0</v>
      </c>
      <c r="F3" s="22">
        <v>46200.0</v>
      </c>
      <c r="G3" s="22">
        <v>46201.0</v>
      </c>
      <c r="H3" s="22">
        <v>46202.0</v>
      </c>
      <c r="I3" s="22">
        <v>46203.0</v>
      </c>
      <c r="J3" s="22">
        <v>46204.0</v>
      </c>
      <c r="K3" s="22">
        <v>46205.0</v>
      </c>
      <c r="L3" s="22">
        <v>46206.0</v>
      </c>
      <c r="M3" s="22">
        <v>46207.0</v>
      </c>
      <c r="N3" s="22">
        <v>46208.0</v>
      </c>
      <c r="O3" s="22">
        <v>46209.0</v>
      </c>
      <c r="P3" s="22">
        <v>46210.0</v>
      </c>
      <c r="Q3" s="23">
        <v>46211.0</v>
      </c>
      <c r="R3" s="23">
        <v>46212.0</v>
      </c>
      <c r="S3" s="23">
        <v>46213.0</v>
      </c>
      <c r="T3" s="23">
        <v>46214.0</v>
      </c>
      <c r="U3" s="23">
        <v>46215.0</v>
      </c>
      <c r="V3" s="23">
        <v>46216.0</v>
      </c>
      <c r="W3" s="23">
        <v>46217.0</v>
      </c>
      <c r="X3" s="23">
        <v>46218.0</v>
      </c>
      <c r="Y3" s="23">
        <v>46219.0</v>
      </c>
      <c r="Z3" s="23">
        <v>46220.0</v>
      </c>
      <c r="AA3" s="23">
        <v>46221.0</v>
      </c>
      <c r="AB3" s="23">
        <v>46222.0</v>
      </c>
      <c r="AC3" s="23">
        <v>46223.0</v>
      </c>
      <c r="AD3" s="23">
        <v>46224.0</v>
      </c>
      <c r="AE3" s="23">
        <v>46225.0</v>
      </c>
      <c r="AF3" s="23">
        <v>46226.0</v>
      </c>
      <c r="AG3" s="23">
        <v>46227.0</v>
      </c>
      <c r="AH3" s="23">
        <v>46228.0</v>
      </c>
      <c r="AI3" s="23">
        <v>46229.0</v>
      </c>
      <c r="AJ3" s="23">
        <v>46230.0</v>
      </c>
      <c r="AK3" s="23">
        <v>46231.0</v>
      </c>
      <c r="AL3" s="23">
        <v>46232.0</v>
      </c>
    </row>
    <row r="4">
      <c r="A4" s="18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</row>
    <row r="5">
      <c r="A5" s="21" t="s">
        <v>11</v>
      </c>
      <c r="B5" s="24">
        <f t="shared" ref="B5:AL5" si="1">SUM(B8:B10,B12,B15:B21)</f>
        <v>21</v>
      </c>
      <c r="C5" s="24">
        <f t="shared" si="1"/>
        <v>7</v>
      </c>
      <c r="D5" s="24">
        <f t="shared" si="1"/>
        <v>10</v>
      </c>
      <c r="E5" s="24">
        <f t="shared" si="1"/>
        <v>10</v>
      </c>
      <c r="F5" s="24">
        <f t="shared" si="1"/>
        <v>6</v>
      </c>
      <c r="G5" s="24">
        <f t="shared" si="1"/>
        <v>7</v>
      </c>
      <c r="H5" s="24">
        <f t="shared" si="1"/>
        <v>10</v>
      </c>
      <c r="I5" s="24">
        <f t="shared" si="1"/>
        <v>19</v>
      </c>
      <c r="J5" s="24">
        <f t="shared" si="1"/>
        <v>7</v>
      </c>
      <c r="K5" s="24">
        <f t="shared" si="1"/>
        <v>11</v>
      </c>
      <c r="L5" s="24">
        <f t="shared" si="1"/>
        <v>18</v>
      </c>
      <c r="M5" s="24">
        <f t="shared" si="1"/>
        <v>13</v>
      </c>
      <c r="N5" s="24">
        <f t="shared" si="1"/>
        <v>9</v>
      </c>
      <c r="O5" s="24">
        <f t="shared" si="1"/>
        <v>18</v>
      </c>
      <c r="P5" s="24">
        <f t="shared" si="1"/>
        <v>24</v>
      </c>
      <c r="Q5" s="24">
        <f t="shared" si="1"/>
        <v>12</v>
      </c>
      <c r="R5" s="24">
        <f t="shared" si="1"/>
        <v>12</v>
      </c>
      <c r="S5" s="24">
        <f t="shared" si="1"/>
        <v>14</v>
      </c>
      <c r="T5" s="24">
        <f t="shared" si="1"/>
        <v>11</v>
      </c>
      <c r="U5" s="24">
        <f t="shared" si="1"/>
        <v>5</v>
      </c>
      <c r="V5" s="24">
        <f t="shared" si="1"/>
        <v>17</v>
      </c>
      <c r="W5" s="24">
        <f t="shared" si="1"/>
        <v>19</v>
      </c>
      <c r="X5" s="24">
        <f t="shared" si="1"/>
        <v>20</v>
      </c>
      <c r="Y5" s="24">
        <f t="shared" si="1"/>
        <v>12</v>
      </c>
      <c r="Z5" s="24">
        <f t="shared" si="1"/>
        <v>13</v>
      </c>
      <c r="AA5" s="24">
        <f t="shared" si="1"/>
        <v>13</v>
      </c>
      <c r="AB5" s="24">
        <f t="shared" si="1"/>
        <v>19</v>
      </c>
      <c r="AC5" s="24">
        <f t="shared" si="1"/>
        <v>20</v>
      </c>
      <c r="AD5" s="24">
        <f t="shared" si="1"/>
        <v>22</v>
      </c>
      <c r="AE5" s="24">
        <f t="shared" si="1"/>
        <v>16</v>
      </c>
      <c r="AF5" s="24">
        <f t="shared" si="1"/>
        <v>13</v>
      </c>
      <c r="AG5" s="24">
        <f t="shared" si="1"/>
        <v>22</v>
      </c>
      <c r="AH5" s="24">
        <f t="shared" si="1"/>
        <v>18</v>
      </c>
      <c r="AI5" s="24">
        <f t="shared" si="1"/>
        <v>16</v>
      </c>
      <c r="AJ5" s="24">
        <f t="shared" si="1"/>
        <v>22</v>
      </c>
      <c r="AK5" s="24">
        <f t="shared" si="1"/>
        <v>19</v>
      </c>
      <c r="AL5" s="24">
        <f t="shared" si="1"/>
        <v>12</v>
      </c>
    </row>
    <row r="6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</row>
    <row r="7">
      <c r="A7" s="25" t="s">
        <v>12</v>
      </c>
      <c r="B7" s="26" t="s">
        <v>13</v>
      </c>
      <c r="C7" s="26" t="s">
        <v>13</v>
      </c>
      <c r="D7" s="26" t="s">
        <v>13</v>
      </c>
      <c r="E7" s="26" t="s">
        <v>13</v>
      </c>
      <c r="F7" s="26" t="s">
        <v>13</v>
      </c>
      <c r="G7" s="26" t="s">
        <v>13</v>
      </c>
      <c r="H7" s="26" t="s">
        <v>13</v>
      </c>
      <c r="I7" s="26" t="s">
        <v>13</v>
      </c>
      <c r="J7" s="26" t="s">
        <v>13</v>
      </c>
      <c r="K7" s="26" t="s">
        <v>13</v>
      </c>
      <c r="L7" s="26" t="s">
        <v>13</v>
      </c>
      <c r="M7" s="26" t="s">
        <v>13</v>
      </c>
      <c r="N7" s="26" t="s">
        <v>13</v>
      </c>
      <c r="O7" s="26" t="s">
        <v>13</v>
      </c>
      <c r="P7" s="26" t="s">
        <v>13</v>
      </c>
      <c r="Q7" s="26" t="s">
        <v>13</v>
      </c>
      <c r="R7" s="26" t="s">
        <v>13</v>
      </c>
      <c r="S7" s="26" t="s">
        <v>13</v>
      </c>
      <c r="T7" s="26" t="s">
        <v>13</v>
      </c>
      <c r="U7" s="26" t="s">
        <v>13</v>
      </c>
      <c r="V7" s="26" t="s">
        <v>13</v>
      </c>
      <c r="W7" s="26" t="s">
        <v>13</v>
      </c>
      <c r="X7" s="26" t="s">
        <v>13</v>
      </c>
      <c r="Y7" s="26" t="s">
        <v>13</v>
      </c>
      <c r="Z7" s="26" t="s">
        <v>13</v>
      </c>
      <c r="AA7" s="26" t="s">
        <v>13</v>
      </c>
      <c r="AB7" s="26" t="s">
        <v>13</v>
      </c>
      <c r="AC7" s="26" t="s">
        <v>13</v>
      </c>
      <c r="AD7" s="26" t="s">
        <v>13</v>
      </c>
      <c r="AE7" s="26" t="s">
        <v>13</v>
      </c>
      <c r="AF7" s="26" t="s">
        <v>13</v>
      </c>
      <c r="AG7" s="26" t="s">
        <v>13</v>
      </c>
      <c r="AH7" s="26" t="s">
        <v>13</v>
      </c>
      <c r="AI7" s="26" t="s">
        <v>13</v>
      </c>
      <c r="AJ7" s="26" t="s">
        <v>13</v>
      </c>
      <c r="AK7" s="26" t="s">
        <v>13</v>
      </c>
      <c r="AL7" s="26" t="s">
        <v>13</v>
      </c>
    </row>
    <row r="8">
      <c r="A8" s="27" t="s">
        <v>14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28">
        <v>1.0</v>
      </c>
      <c r="N8" s="13"/>
      <c r="O8" s="13"/>
      <c r="P8" s="28">
        <v>1.0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</row>
    <row r="9">
      <c r="A9" s="27" t="s">
        <v>15</v>
      </c>
      <c r="B9" s="28">
        <v>2.0</v>
      </c>
      <c r="C9" s="13"/>
      <c r="D9" s="28">
        <v>1.0</v>
      </c>
      <c r="E9" s="13"/>
      <c r="F9" s="13"/>
      <c r="G9" s="28">
        <v>2.0</v>
      </c>
      <c r="H9" s="13"/>
      <c r="I9" s="28">
        <v>3.0</v>
      </c>
      <c r="J9" s="28">
        <v>1.0</v>
      </c>
      <c r="K9" s="28">
        <v>3.0</v>
      </c>
      <c r="L9" s="28">
        <v>2.0</v>
      </c>
      <c r="M9" s="28">
        <v>2.0</v>
      </c>
      <c r="N9" s="28">
        <v>1.0</v>
      </c>
      <c r="O9" s="13"/>
      <c r="P9" s="28">
        <v>1.0</v>
      </c>
      <c r="Q9" s="13"/>
      <c r="R9" s="28">
        <v>2.0</v>
      </c>
      <c r="S9" s="13"/>
      <c r="T9" s="28">
        <v>1.0</v>
      </c>
      <c r="U9" s="13"/>
      <c r="V9" s="28">
        <v>4.0</v>
      </c>
      <c r="W9" s="28">
        <v>2.0</v>
      </c>
      <c r="X9" s="28">
        <v>3.0</v>
      </c>
      <c r="Y9" s="28"/>
      <c r="Z9" s="28">
        <v>2.0</v>
      </c>
      <c r="AA9" s="28">
        <v>2.0</v>
      </c>
      <c r="AB9" s="28">
        <v>2.0</v>
      </c>
      <c r="AC9" s="13"/>
      <c r="AD9" s="28">
        <v>3.0</v>
      </c>
      <c r="AE9" s="28">
        <v>2.0</v>
      </c>
      <c r="AF9" s="13"/>
      <c r="AG9" s="28">
        <v>4.0</v>
      </c>
      <c r="AH9" s="28">
        <v>2.0</v>
      </c>
      <c r="AI9" s="28">
        <v>2.0</v>
      </c>
      <c r="AJ9" s="28">
        <v>1.0</v>
      </c>
      <c r="AK9" s="28">
        <v>1.0</v>
      </c>
      <c r="AL9" s="28">
        <v>3.0</v>
      </c>
    </row>
    <row r="10">
      <c r="A10" s="29" t="s">
        <v>16</v>
      </c>
      <c r="B10" s="30">
        <v>2.0</v>
      </c>
      <c r="C10" s="31"/>
      <c r="D10" s="30">
        <v>3.0</v>
      </c>
      <c r="E10" s="31"/>
      <c r="F10" s="31"/>
      <c r="G10" s="31"/>
      <c r="H10" s="30">
        <v>1.0</v>
      </c>
      <c r="I10" s="31"/>
      <c r="J10" s="31"/>
      <c r="K10" s="31"/>
      <c r="L10" s="30"/>
      <c r="M10" s="30">
        <v>1.0</v>
      </c>
      <c r="N10" s="31"/>
      <c r="O10" s="31"/>
      <c r="P10" s="31"/>
      <c r="Q10" s="30">
        <v>1.0</v>
      </c>
      <c r="R10" s="31"/>
      <c r="S10" s="31"/>
      <c r="T10" s="30">
        <v>1.0</v>
      </c>
      <c r="U10" s="31"/>
      <c r="V10" s="31"/>
      <c r="W10" s="31"/>
      <c r="X10" s="31"/>
      <c r="Y10" s="31"/>
      <c r="Z10" s="30">
        <v>1.0</v>
      </c>
      <c r="AA10" s="31"/>
      <c r="AB10" s="31"/>
      <c r="AC10" s="31"/>
      <c r="AD10" s="31"/>
      <c r="AE10" s="31"/>
      <c r="AF10" s="30">
        <v>1.0</v>
      </c>
      <c r="AG10" s="31"/>
      <c r="AH10" s="31"/>
      <c r="AI10" s="31"/>
      <c r="AJ10" s="30">
        <v>1.0</v>
      </c>
      <c r="AK10" s="31"/>
      <c r="AL10" s="31"/>
    </row>
    <row r="11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>
      <c r="A12" s="32" t="s">
        <v>17</v>
      </c>
      <c r="B12" s="33">
        <v>8.0</v>
      </c>
      <c r="C12" s="33">
        <v>5.0</v>
      </c>
      <c r="D12" s="33">
        <v>3.0</v>
      </c>
      <c r="E12" s="33">
        <v>8.0</v>
      </c>
      <c r="F12" s="33">
        <v>4.0</v>
      </c>
      <c r="G12" s="33">
        <v>2.0</v>
      </c>
      <c r="H12" s="33">
        <v>5.0</v>
      </c>
      <c r="I12" s="33">
        <v>11.0</v>
      </c>
      <c r="J12" s="33">
        <v>3.0</v>
      </c>
      <c r="K12" s="33">
        <v>5.0</v>
      </c>
      <c r="L12" s="33">
        <v>10.0</v>
      </c>
      <c r="M12" s="33">
        <v>7.0</v>
      </c>
      <c r="N12" s="33">
        <v>6.0</v>
      </c>
      <c r="O12" s="33">
        <v>12.0</v>
      </c>
      <c r="P12" s="33">
        <v>16.0</v>
      </c>
      <c r="Q12" s="33">
        <v>9.0</v>
      </c>
      <c r="R12" s="33">
        <v>4.0</v>
      </c>
      <c r="S12" s="33">
        <v>8.0</v>
      </c>
      <c r="T12" s="33">
        <v>6.0</v>
      </c>
      <c r="U12" s="33">
        <v>5.0</v>
      </c>
      <c r="V12" s="33">
        <v>8.0</v>
      </c>
      <c r="W12" s="33">
        <v>7.0</v>
      </c>
      <c r="X12" s="33">
        <v>4.0</v>
      </c>
      <c r="Y12" s="33">
        <v>4.0</v>
      </c>
      <c r="Z12" s="33">
        <v>4.0</v>
      </c>
      <c r="AA12" s="33">
        <v>3.0</v>
      </c>
      <c r="AB12" s="33">
        <v>6.0</v>
      </c>
      <c r="AC12" s="33">
        <v>5.0</v>
      </c>
      <c r="AD12" s="33">
        <v>3.0</v>
      </c>
      <c r="AE12" s="33">
        <v>4.0</v>
      </c>
      <c r="AF12" s="33">
        <v>6.0</v>
      </c>
      <c r="AG12" s="33">
        <v>7.0</v>
      </c>
      <c r="AH12" s="33">
        <v>7.0</v>
      </c>
      <c r="AI12" s="33">
        <v>7.0</v>
      </c>
      <c r="AJ12" s="33">
        <v>7.0</v>
      </c>
      <c r="AK12" s="33">
        <v>9.0</v>
      </c>
      <c r="AL12" s="33">
        <v>5.0</v>
      </c>
    </row>
    <row r="13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>
      <c r="A14" s="34" t="s">
        <v>18</v>
      </c>
      <c r="B14" s="35" t="s">
        <v>13</v>
      </c>
      <c r="C14" s="35" t="s">
        <v>13</v>
      </c>
      <c r="D14" s="35" t="s">
        <v>13</v>
      </c>
      <c r="E14" s="35" t="s">
        <v>13</v>
      </c>
      <c r="F14" s="35" t="s">
        <v>13</v>
      </c>
      <c r="G14" s="35" t="s">
        <v>13</v>
      </c>
      <c r="H14" s="35" t="s">
        <v>13</v>
      </c>
      <c r="I14" s="35" t="s">
        <v>13</v>
      </c>
      <c r="J14" s="35" t="s">
        <v>13</v>
      </c>
      <c r="K14" s="35" t="s">
        <v>13</v>
      </c>
      <c r="L14" s="35" t="s">
        <v>13</v>
      </c>
      <c r="M14" s="35" t="s">
        <v>13</v>
      </c>
      <c r="N14" s="35" t="s">
        <v>13</v>
      </c>
      <c r="O14" s="35" t="s">
        <v>13</v>
      </c>
      <c r="P14" s="35" t="s">
        <v>13</v>
      </c>
      <c r="Q14" s="35" t="s">
        <v>13</v>
      </c>
      <c r="R14" s="35" t="s">
        <v>13</v>
      </c>
      <c r="S14" s="35" t="s">
        <v>13</v>
      </c>
      <c r="T14" s="35" t="s">
        <v>13</v>
      </c>
      <c r="U14" s="35" t="s">
        <v>13</v>
      </c>
      <c r="V14" s="35" t="s">
        <v>13</v>
      </c>
      <c r="W14" s="35" t="s">
        <v>13</v>
      </c>
      <c r="X14" s="35" t="s">
        <v>13</v>
      </c>
      <c r="Y14" s="35" t="s">
        <v>13</v>
      </c>
      <c r="Z14" s="35" t="s">
        <v>13</v>
      </c>
      <c r="AA14" s="35" t="s">
        <v>13</v>
      </c>
      <c r="AB14" s="35" t="s">
        <v>13</v>
      </c>
      <c r="AC14" s="35" t="s">
        <v>13</v>
      </c>
      <c r="AD14" s="35" t="s">
        <v>13</v>
      </c>
      <c r="AE14" s="35" t="s">
        <v>13</v>
      </c>
      <c r="AF14" s="35" t="s">
        <v>13</v>
      </c>
      <c r="AG14" s="35" t="s">
        <v>13</v>
      </c>
      <c r="AH14" s="35" t="s">
        <v>13</v>
      </c>
      <c r="AI14" s="35" t="s">
        <v>13</v>
      </c>
      <c r="AJ14" s="35" t="s">
        <v>13</v>
      </c>
      <c r="AK14" s="35" t="s">
        <v>13</v>
      </c>
      <c r="AL14" s="35" t="s">
        <v>13</v>
      </c>
    </row>
    <row r="15">
      <c r="A15" s="36" t="s">
        <v>19</v>
      </c>
      <c r="B15" s="37">
        <v>1.0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7">
        <v>1.0</v>
      </c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</row>
    <row r="16">
      <c r="A16" s="36" t="s">
        <v>20</v>
      </c>
      <c r="B16" s="37">
        <v>1.0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7">
        <v>1.0</v>
      </c>
      <c r="N16" s="38"/>
      <c r="O16" s="38"/>
      <c r="P16" s="37">
        <v>1.0</v>
      </c>
      <c r="Q16" s="38"/>
      <c r="R16" s="38"/>
      <c r="S16" s="38"/>
      <c r="T16" s="38"/>
      <c r="U16" s="38"/>
      <c r="V16" s="38"/>
      <c r="W16" s="38"/>
      <c r="X16" s="37">
        <v>1.0</v>
      </c>
      <c r="Y16" s="37">
        <v>1.0</v>
      </c>
      <c r="Z16" s="38"/>
      <c r="AA16" s="38"/>
      <c r="AB16" s="38"/>
      <c r="AC16" s="38"/>
      <c r="AD16" s="37">
        <v>1.0</v>
      </c>
      <c r="AE16" s="38"/>
      <c r="AF16" s="38"/>
      <c r="AG16" s="38"/>
      <c r="AH16" s="38"/>
      <c r="AI16" s="38"/>
      <c r="AJ16" s="38"/>
      <c r="AK16" s="38"/>
      <c r="AL16" s="38"/>
    </row>
    <row r="17">
      <c r="A17" s="36" t="s">
        <v>21</v>
      </c>
      <c r="B17" s="37">
        <v>1.0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7"/>
      <c r="O17" s="38"/>
      <c r="P17" s="38"/>
      <c r="Q17" s="37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</row>
    <row r="18">
      <c r="A18" s="36" t="s">
        <v>22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7">
        <v>1.0</v>
      </c>
      <c r="Y18" s="37">
        <v>1.0</v>
      </c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</row>
    <row r="19">
      <c r="A19" s="36" t="s">
        <v>23</v>
      </c>
      <c r="B19" s="37">
        <v>4.0</v>
      </c>
      <c r="C19" s="38"/>
      <c r="D19" s="37">
        <v>1.0</v>
      </c>
      <c r="E19" s="37">
        <v>2.0</v>
      </c>
      <c r="F19" s="38"/>
      <c r="G19" s="37">
        <v>1.0</v>
      </c>
      <c r="H19" s="37">
        <v>3.0</v>
      </c>
      <c r="I19" s="37">
        <v>4.0</v>
      </c>
      <c r="J19" s="37">
        <v>1.0</v>
      </c>
      <c r="K19" s="37">
        <v>3.0</v>
      </c>
      <c r="L19" s="37">
        <v>3.0</v>
      </c>
      <c r="M19" s="38"/>
      <c r="N19" s="37">
        <v>2.0</v>
      </c>
      <c r="O19" s="37">
        <v>3.0</v>
      </c>
      <c r="P19" s="37">
        <v>3.0</v>
      </c>
      <c r="Q19" s="37">
        <v>2.0</v>
      </c>
      <c r="R19" s="37">
        <v>3.0</v>
      </c>
      <c r="S19" s="37">
        <v>4.0</v>
      </c>
      <c r="T19" s="38"/>
      <c r="U19" s="38"/>
      <c r="V19" s="37">
        <v>2.0</v>
      </c>
      <c r="W19" s="37">
        <v>7.0</v>
      </c>
      <c r="X19" s="37">
        <v>5.0</v>
      </c>
      <c r="Y19" s="37">
        <v>5.0</v>
      </c>
      <c r="Z19" s="37">
        <v>3.0</v>
      </c>
      <c r="AA19" s="37">
        <v>5.0</v>
      </c>
      <c r="AB19" s="37">
        <v>7.0</v>
      </c>
      <c r="AC19" s="37">
        <v>14.0</v>
      </c>
      <c r="AD19" s="37">
        <v>15.0</v>
      </c>
      <c r="AE19" s="37">
        <v>5.0</v>
      </c>
      <c r="AF19" s="37">
        <v>6.0</v>
      </c>
      <c r="AG19" s="37">
        <v>8.0</v>
      </c>
      <c r="AH19" s="37">
        <v>4.0</v>
      </c>
      <c r="AI19" s="37">
        <v>3.0</v>
      </c>
      <c r="AJ19" s="37">
        <v>11.0</v>
      </c>
      <c r="AK19" s="37">
        <v>7.0</v>
      </c>
      <c r="AL19" s="37">
        <v>1.0</v>
      </c>
    </row>
    <row r="20">
      <c r="A20" s="36" t="s">
        <v>24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</row>
    <row r="21" ht="15.75" customHeight="1">
      <c r="A21" s="36" t="s">
        <v>25</v>
      </c>
      <c r="B21" s="37">
        <v>2.0</v>
      </c>
      <c r="C21" s="37">
        <v>2.0</v>
      </c>
      <c r="D21" s="37">
        <v>2.0</v>
      </c>
      <c r="E21" s="37"/>
      <c r="F21" s="37">
        <v>2.0</v>
      </c>
      <c r="G21" s="37">
        <v>2.0</v>
      </c>
      <c r="H21" s="37">
        <v>1.0</v>
      </c>
      <c r="I21" s="37">
        <v>1.0</v>
      </c>
      <c r="J21" s="37">
        <v>2.0</v>
      </c>
      <c r="K21" s="38"/>
      <c r="L21" s="37">
        <v>3.0</v>
      </c>
      <c r="M21" s="37">
        <v>1.0</v>
      </c>
      <c r="N21" s="38"/>
      <c r="O21" s="37">
        <v>3.0</v>
      </c>
      <c r="P21" s="37">
        <v>2.0</v>
      </c>
      <c r="Q21" s="38"/>
      <c r="R21" s="37">
        <v>3.0</v>
      </c>
      <c r="S21" s="37">
        <v>2.0</v>
      </c>
      <c r="T21" s="37">
        <v>3.0</v>
      </c>
      <c r="U21" s="38"/>
      <c r="V21" s="37">
        <v>3.0</v>
      </c>
      <c r="W21" s="37">
        <v>3.0</v>
      </c>
      <c r="X21" s="37">
        <v>6.0</v>
      </c>
      <c r="Y21" s="37">
        <v>1.0</v>
      </c>
      <c r="Z21" s="37">
        <v>2.0</v>
      </c>
      <c r="AA21" s="37">
        <v>3.0</v>
      </c>
      <c r="AB21" s="37">
        <v>4.0</v>
      </c>
      <c r="AC21" s="37">
        <v>1.0</v>
      </c>
      <c r="AD21" s="38"/>
      <c r="AE21" s="37">
        <v>5.0</v>
      </c>
      <c r="AF21" s="38"/>
      <c r="AG21" s="37">
        <v>3.0</v>
      </c>
      <c r="AH21" s="37">
        <v>5.0</v>
      </c>
      <c r="AI21" s="37">
        <v>4.0</v>
      </c>
      <c r="AJ21" s="37">
        <v>2.0</v>
      </c>
      <c r="AK21" s="37">
        <v>2.0</v>
      </c>
      <c r="AL21" s="37">
        <v>3.0</v>
      </c>
    </row>
    <row r="22" ht="15.75" customHeight="1">
      <c r="A22" s="39" t="s">
        <v>26</v>
      </c>
      <c r="B22" s="40"/>
      <c r="C22" s="41"/>
      <c r="D22" s="40"/>
      <c r="E22" s="41"/>
      <c r="F22" s="41">
        <v>1.0</v>
      </c>
      <c r="G22" s="40"/>
      <c r="H22" s="40"/>
      <c r="I22" s="41"/>
      <c r="J22" s="40"/>
      <c r="K22" s="40"/>
      <c r="L22" s="40"/>
      <c r="M22" s="40"/>
      <c r="N22" s="40"/>
      <c r="O22" s="40"/>
      <c r="P22" s="40"/>
      <c r="Q22" s="40"/>
      <c r="R22" s="40"/>
      <c r="S22" s="41">
        <v>1.0</v>
      </c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1">
        <v>1.0</v>
      </c>
      <c r="AJ22" s="41">
        <v>1.0</v>
      </c>
      <c r="AK22" s="40"/>
      <c r="AL22" s="41">
        <v>2.0</v>
      </c>
    </row>
    <row r="23" ht="15.75" customHeight="1">
      <c r="A23" s="42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ht="15.75" customHeight="1"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ht="30.75" customHeight="1">
      <c r="A25" s="43" t="s">
        <v>27</v>
      </c>
    </row>
    <row r="26" ht="30.75" customHeight="1">
      <c r="A26" s="43" t="s">
        <v>28</v>
      </c>
      <c r="F26" s="15"/>
    </row>
    <row r="27" ht="15.75" customHeight="1"/>
    <row r="28" ht="15.75" customHeight="1">
      <c r="A28" s="3" t="s">
        <v>0</v>
      </c>
      <c r="B28" s="9" t="str">
        <f>IF(COUNTIF('Interessados em analise'!$B$1:$B$45,B30)=0,"✅",COUNTIF('Interessados em analise'!$B$1:$B$45,B30)&amp;"❌")</f>
        <v>✅</v>
      </c>
      <c r="C28" s="9" t="str">
        <f>IF(COUNTIF('Interessados em analise'!$B$1:$B$45,C30)=0,"✅",COUNTIF('Interessados em analise'!$B$1:$B$45,C30)&amp;"❌")</f>
        <v>✅</v>
      </c>
      <c r="D28" s="9" t="str">
        <f>IF(COUNTIF('Interessados em analise'!$B$1:$B$45,D30)=0,"✅",COUNTIF('Interessados em analise'!$B$1:$B$45,D30)&amp;"❌")</f>
        <v>✅</v>
      </c>
      <c r="E28" s="9" t="str">
        <f>IF(COUNTIF('Interessados em analise'!$B$1:$B$45,E30)=0,"✅",COUNTIF('Interessados em analise'!$B$1:$B$45,E30)&amp;"❌")</f>
        <v>✅</v>
      </c>
      <c r="F28" s="9" t="str">
        <f>IF(COUNTIF('Interessados em analise'!$B$1:$B$45,F30)=0,"✅",COUNTIF('Interessados em analise'!$B$1:$B$45,F30)&amp;"❌")</f>
        <v>✅</v>
      </c>
      <c r="G28" s="9" t="str">
        <f>IF(COUNTIF('Interessados em analise'!$B$1:$B$45,G30)=0,"✅",COUNTIF('Interessados em analise'!$B$1:$B$45,G30)&amp;"❌")</f>
        <v>✅</v>
      </c>
      <c r="H28" s="9" t="str">
        <f>IF(COUNTIF('Interessados em analise'!$B$1:$B$45,H30)=0,"✅",COUNTIF('Interessados em analise'!$B$1:$B$45,H30)&amp;"❌")</f>
        <v>✅</v>
      </c>
      <c r="I28" s="9" t="str">
        <f>IF(COUNTIF('Interessados em analise'!$B$1:$B$45,I30)=0,"✅",COUNTIF('Interessados em analise'!$B$1:$B$45,I30)&amp;"❌")</f>
        <v>✅</v>
      </c>
      <c r="J28" s="9" t="str">
        <f>IF(COUNTIF('Interessados em analise'!$B$1:$B$45,J30)=0,"✅",COUNTIF('Interessados em analise'!$B$1:$B$45,J30)&amp;"❌")</f>
        <v>✅</v>
      </c>
      <c r="K28" s="9" t="str">
        <f>IF(COUNTIF('Interessados em analise'!$B$1:$B$45,K30)=0,"✅",COUNTIF('Interessados em analise'!$B$1:$B$45,K30)&amp;"❌")</f>
        <v>✅</v>
      </c>
      <c r="L28" s="9" t="str">
        <f>IF(COUNTIF('Interessados em analise'!$B$1:$B$45,L30)=0,"✅",COUNTIF('Interessados em analise'!$B$1:$B$45,L30)&amp;"❌")</f>
        <v>✅</v>
      </c>
      <c r="M28" s="9" t="str">
        <f>IF(COUNTIF('Interessados em analise'!$B$1:$B$45,M30)=0,"✅",COUNTIF('Interessados em analise'!$B$1:$B$45,M30)&amp;"❌")</f>
        <v>✅</v>
      </c>
      <c r="N28" s="9" t="str">
        <f>IF(COUNTIF('Interessados em analise'!$B$1:$B$45,N30)=0,"✅",COUNTIF('Interessados em analise'!$B$1:$B$45,N30)&amp;"❌")</f>
        <v>✅</v>
      </c>
      <c r="O28" s="9" t="str">
        <f>IF(COUNTIF('Interessados em analise'!$B$1:$B$45,O30)=0,"✅",COUNTIF('Interessados em analise'!$B$1:$B$45,O30)&amp;"❌")</f>
        <v>✅</v>
      </c>
      <c r="P28" s="9" t="str">
        <f>IF(COUNTIF('Interessados em analise'!$B$1:$B$45,P30)=0,"✅",COUNTIF('Interessados em analise'!$B$1:$B$45,P30)&amp;"❌")</f>
        <v>✅</v>
      </c>
      <c r="Q28" s="9" t="str">
        <f>IF(COUNTIF('Interessados em analise'!$B$1:$B$45,Q30)=0,"✅",COUNTIF('Interessados em analise'!$B$1:$B$45,Q30)&amp;"❌")</f>
        <v>✅</v>
      </c>
      <c r="R28" s="9" t="str">
        <f>IF(COUNTIF('Interessados em analise'!$B$1:$B$45,R30)=0,"✅",COUNTIF('Interessados em analise'!$B$1:$B$45,R30)&amp;"❌")</f>
        <v>✅</v>
      </c>
      <c r="S28" s="9" t="str">
        <f>IF(COUNTIF('Interessados em analise'!$B$1:$B$45,S30)=0,"✅",COUNTIF('Interessados em analise'!$B$1:$B$45,S30)&amp;"❌")</f>
        <v>✅</v>
      </c>
      <c r="T28" s="9" t="str">
        <f>IF(COUNTIF('Interessados em analise'!$B$1:$B$45,T30)=0,"✅",COUNTIF('Interessados em analise'!$B$1:$B$45,T30)&amp;"❌")</f>
        <v>✅</v>
      </c>
      <c r="U28" s="9" t="str">
        <f>IF(COUNTIF('Interessados em analise'!$B$1:$B$45,U30)=0,"✅",COUNTIF('Interessados em analise'!$B$1:$B$45,U30)&amp;"❌")</f>
        <v>✅</v>
      </c>
      <c r="V28" s="9" t="str">
        <f>IF(COUNTIF('Interessados em analise'!$B$1:$B$45,V30)=0,"✅",COUNTIF('Interessados em analise'!$B$1:$B$45,V30)&amp;"❌")</f>
        <v>✅</v>
      </c>
      <c r="W28" s="9" t="str">
        <f>IF(COUNTIF('Interessados em analise'!$B$1:$B$45,W30)=0,"✅",COUNTIF('Interessados em analise'!$B$1:$B$45,W30)&amp;"❌")</f>
        <v>✅</v>
      </c>
      <c r="X28" s="9" t="str">
        <f>IF(COUNTIF('Interessados em analise'!$B$1:$B$45,X30)=0,"✅",COUNTIF('Interessados em analise'!$B$1:$B$45,X30)&amp;"❌")</f>
        <v>✅</v>
      </c>
      <c r="Y28" s="9" t="str">
        <f>IF(COUNTIF('Interessados em analise'!$B$1:$B$45,Y30)=0,"✅",COUNTIF('Interessados em analise'!$B$1:$B$45,Y30)&amp;"❌")</f>
        <v>1❌</v>
      </c>
      <c r="Z28" s="9" t="str">
        <f>IF(COUNTIF('Interessados em analise'!$B$1:$B$45,Z30)=0,"✅",COUNTIF('Interessados em analise'!$B$1:$B$45,Z30)&amp;"❌")</f>
        <v>✅</v>
      </c>
      <c r="AA28" s="9" t="str">
        <f>IF(COUNTIF('Interessados em analise'!$B$1:$B$45,AA30)=0,"✅",COUNTIF('Interessados em analise'!$B$1:$B$45,AA30)&amp;"❌")</f>
        <v>✅</v>
      </c>
      <c r="AB28" s="9" t="str">
        <f>IF(COUNTIF('Interessados em analise'!$B$1:$B$45,AB30)=0,"✅",COUNTIF('Interessados em analise'!$B$1:$B$45,AB30)&amp;"❌")</f>
        <v>✅</v>
      </c>
      <c r="AC28" s="9" t="str">
        <f>IF(COUNTIF('Interessados em analise'!$B$1:$B$45,AC30)=0,"✅",COUNTIF('Interessados em analise'!$B$1:$B$45,AC30)&amp;"❌")</f>
        <v>✅</v>
      </c>
      <c r="AD28" s="9" t="str">
        <f>IF(COUNTIF('Interessados em analise'!$B$1:$B$45,AD30)=0,"✅",COUNTIF('Interessados em analise'!$B$1:$B$45,AD30)&amp;"❌")</f>
        <v>✅</v>
      </c>
      <c r="AE28" s="9" t="str">
        <f>IF(COUNTIF('Interessados em analise'!$B$1:$B$45,AE30)=0,"✅",COUNTIF('Interessados em analise'!$B$1:$B$45,AE30)&amp;"❌")</f>
        <v>✅</v>
      </c>
      <c r="AF28" s="9" t="str">
        <f>IF(COUNTIF('Interessados em analise'!$B$1:$B$45,AF30)=0,"✅",COUNTIF('Interessados em analise'!$B$1:$B$45,AF30)&amp;"❌")</f>
        <v>✅</v>
      </c>
      <c r="AG28" s="9" t="str">
        <f>IF(COUNTIF('Interessados em analise'!$B$1:$B$45,AG30)=0,"✅",COUNTIF('Interessados em analise'!$B$1:$B$45,AG30)&amp;"❌")</f>
        <v>✅</v>
      </c>
      <c r="AH28" s="9" t="str">
        <f>IF(COUNTIF('Interessados em analise'!$B$1:$B$45,AH30)=0,"✅",COUNTIF('Interessados em analise'!$B$1:$B$45,AH30)&amp;"❌")</f>
        <v>✅</v>
      </c>
      <c r="AI28" s="9" t="str">
        <f>IF(COUNTIF('Interessados em analise'!$B$1:$B$45,AI30)=0,"✅",COUNTIF('Interessados em analise'!$B$1:$B$45,AI30)&amp;"❌")</f>
        <v>✅</v>
      </c>
      <c r="AJ28" s="9" t="str">
        <f>IF(COUNTIF('Interessados em analise'!$B$1:$B$45,AJ30)=0,"✅",COUNTIF('Interessados em analise'!$B$1:$B$45,AJ30)&amp;"❌")</f>
        <v>✅</v>
      </c>
      <c r="AK28" s="9" t="str">
        <f>IF(COUNTIF('Interessados em analise'!$B$1:$B$45,AK30)=0,"✅",COUNTIF('Interessados em analise'!$B$1:$B$45,AK30)&amp;"❌")</f>
        <v>✅</v>
      </c>
      <c r="AL28" s="9" t="str">
        <f>IF(COUNTIF('Interessados em analise'!$B$1:$B$45,AL30)=0,"✅",COUNTIF('Interessados em analise'!$B$1:$B$45,AL30)&amp;"❌")</f>
        <v>✅</v>
      </c>
    </row>
    <row r="29" ht="15.75" customHeight="1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ht="15.75" customHeight="1">
      <c r="A30" s="21" t="s">
        <v>10</v>
      </c>
      <c r="B30" s="22">
        <v>46253.0</v>
      </c>
      <c r="C30" s="22">
        <v>46254.0</v>
      </c>
      <c r="D30" s="22">
        <v>46255.0</v>
      </c>
      <c r="E30" s="22">
        <v>46256.0</v>
      </c>
      <c r="F30" s="22">
        <v>46257.0</v>
      </c>
      <c r="G30" s="22">
        <v>46258.0</v>
      </c>
      <c r="H30" s="22">
        <v>46259.0</v>
      </c>
      <c r="I30" s="22">
        <v>46260.0</v>
      </c>
      <c r="J30" s="22">
        <v>46261.0</v>
      </c>
      <c r="K30" s="22">
        <v>46262.0</v>
      </c>
      <c r="L30" s="22">
        <v>46263.0</v>
      </c>
      <c r="M30" s="22">
        <v>46264.0</v>
      </c>
      <c r="N30" s="22">
        <v>46265.0</v>
      </c>
      <c r="O30" s="22">
        <v>46266.0</v>
      </c>
      <c r="P30" s="22">
        <v>46267.0</v>
      </c>
      <c r="Q30" s="22">
        <v>46268.0</v>
      </c>
      <c r="R30" s="22">
        <v>46269.0</v>
      </c>
      <c r="S30" s="22">
        <v>46270.0</v>
      </c>
      <c r="T30" s="22">
        <v>46271.0</v>
      </c>
      <c r="U30" s="22">
        <v>46272.0</v>
      </c>
      <c r="V30" s="22">
        <v>46273.0</v>
      </c>
      <c r="W30" s="22">
        <v>46274.0</v>
      </c>
      <c r="X30" s="22">
        <v>46275.0</v>
      </c>
      <c r="Y30" s="22">
        <v>46276.0</v>
      </c>
      <c r="Z30" s="22">
        <v>46277.0</v>
      </c>
      <c r="AA30" s="22">
        <v>46278.0</v>
      </c>
      <c r="AB30" s="22">
        <v>46279.0</v>
      </c>
      <c r="AC30" s="22">
        <v>46280.0</v>
      </c>
      <c r="AD30" s="22">
        <v>46281.0</v>
      </c>
      <c r="AE30" s="22">
        <v>46282.0</v>
      </c>
      <c r="AF30" s="22">
        <v>46283.0</v>
      </c>
      <c r="AG30" s="22">
        <v>46284.0</v>
      </c>
      <c r="AH30" s="22">
        <v>46285.0</v>
      </c>
      <c r="AI30" s="22">
        <v>46286.0</v>
      </c>
      <c r="AJ30" s="22">
        <v>46287.0</v>
      </c>
      <c r="AK30" s="22">
        <v>46288.0</v>
      </c>
      <c r="AL30" s="22">
        <v>46289.0</v>
      </c>
    </row>
    <row r="31" ht="15.75" customHeight="1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ht="15.75" customHeight="1">
      <c r="A32" s="21" t="s">
        <v>11</v>
      </c>
      <c r="B32" s="24">
        <f t="shared" ref="B32:AL32" si="2">SUM(B35:B37,B39,B42:B48)</f>
        <v>26</v>
      </c>
      <c r="C32" s="24">
        <f t="shared" si="2"/>
        <v>35</v>
      </c>
      <c r="D32" s="24">
        <f t="shared" si="2"/>
        <v>18</v>
      </c>
      <c r="E32" s="24">
        <f t="shared" si="2"/>
        <v>25</v>
      </c>
      <c r="F32" s="24">
        <f t="shared" si="2"/>
        <v>28</v>
      </c>
      <c r="G32" s="24">
        <f t="shared" si="2"/>
        <v>38</v>
      </c>
      <c r="H32" s="24">
        <f t="shared" si="2"/>
        <v>20</v>
      </c>
      <c r="I32" s="24">
        <f t="shared" si="2"/>
        <v>34</v>
      </c>
      <c r="J32" s="24">
        <f t="shared" si="2"/>
        <v>21</v>
      </c>
      <c r="K32" s="24">
        <f t="shared" si="2"/>
        <v>14</v>
      </c>
      <c r="L32" s="24">
        <f t="shared" si="2"/>
        <v>15</v>
      </c>
      <c r="M32" s="24">
        <f t="shared" si="2"/>
        <v>22</v>
      </c>
      <c r="N32" s="24">
        <f t="shared" si="2"/>
        <v>31</v>
      </c>
      <c r="O32" s="24">
        <f t="shared" si="2"/>
        <v>41</v>
      </c>
      <c r="P32" s="24">
        <f t="shared" si="2"/>
        <v>34</v>
      </c>
      <c r="Q32" s="24">
        <f t="shared" si="2"/>
        <v>31</v>
      </c>
      <c r="R32" s="24">
        <f t="shared" si="2"/>
        <v>19</v>
      </c>
      <c r="S32" s="24">
        <f t="shared" si="2"/>
        <v>16</v>
      </c>
      <c r="T32" s="24">
        <f t="shared" si="2"/>
        <v>12</v>
      </c>
      <c r="U32" s="24">
        <f t="shared" si="2"/>
        <v>20</v>
      </c>
      <c r="V32" s="24">
        <f t="shared" si="2"/>
        <v>29</v>
      </c>
      <c r="W32" s="24">
        <f t="shared" si="2"/>
        <v>28</v>
      </c>
      <c r="X32" s="24">
        <f t="shared" si="2"/>
        <v>18</v>
      </c>
      <c r="Y32" s="24">
        <f t="shared" si="2"/>
        <v>11</v>
      </c>
      <c r="Z32" s="24">
        <f t="shared" si="2"/>
        <v>14</v>
      </c>
      <c r="AA32" s="24">
        <f t="shared" si="2"/>
        <v>14</v>
      </c>
      <c r="AB32" s="24">
        <f t="shared" si="2"/>
        <v>24</v>
      </c>
      <c r="AC32" s="24">
        <f t="shared" si="2"/>
        <v>8</v>
      </c>
      <c r="AD32" s="24">
        <f t="shared" si="2"/>
        <v>21</v>
      </c>
      <c r="AE32" s="24">
        <f t="shared" si="2"/>
        <v>28</v>
      </c>
      <c r="AF32" s="24">
        <f t="shared" si="2"/>
        <v>10</v>
      </c>
      <c r="AG32" s="24">
        <f t="shared" si="2"/>
        <v>10</v>
      </c>
      <c r="AH32" s="24">
        <f t="shared" si="2"/>
        <v>16</v>
      </c>
      <c r="AI32" s="24">
        <f t="shared" si="2"/>
        <v>23</v>
      </c>
      <c r="AJ32" s="24">
        <f t="shared" si="2"/>
        <v>16</v>
      </c>
      <c r="AK32" s="24">
        <f t="shared" si="2"/>
        <v>15</v>
      </c>
      <c r="AL32" s="24">
        <f t="shared" si="2"/>
        <v>11</v>
      </c>
    </row>
    <row r="33" ht="15.75" customHeight="1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ht="15.75" customHeight="1">
      <c r="A34" s="25" t="s">
        <v>12</v>
      </c>
      <c r="B34" s="26" t="s">
        <v>13</v>
      </c>
      <c r="C34" s="26" t="s">
        <v>13</v>
      </c>
      <c r="D34" s="26" t="s">
        <v>13</v>
      </c>
      <c r="E34" s="26" t="s">
        <v>13</v>
      </c>
      <c r="F34" s="26" t="s">
        <v>13</v>
      </c>
      <c r="G34" s="26" t="s">
        <v>13</v>
      </c>
      <c r="H34" s="26" t="s">
        <v>13</v>
      </c>
      <c r="I34" s="26" t="s">
        <v>13</v>
      </c>
      <c r="J34" s="26" t="s">
        <v>13</v>
      </c>
      <c r="K34" s="26" t="s">
        <v>13</v>
      </c>
      <c r="L34" s="26" t="s">
        <v>13</v>
      </c>
      <c r="M34" s="26" t="s">
        <v>13</v>
      </c>
      <c r="N34" s="26" t="s">
        <v>13</v>
      </c>
      <c r="O34" s="26" t="s">
        <v>13</v>
      </c>
      <c r="P34" s="26" t="s">
        <v>13</v>
      </c>
      <c r="Q34" s="26" t="s">
        <v>13</v>
      </c>
      <c r="R34" s="26" t="s">
        <v>13</v>
      </c>
      <c r="S34" s="26" t="s">
        <v>13</v>
      </c>
      <c r="T34" s="26" t="s">
        <v>13</v>
      </c>
      <c r="U34" s="26" t="s">
        <v>13</v>
      </c>
      <c r="V34" s="26" t="s">
        <v>13</v>
      </c>
      <c r="W34" s="26" t="s">
        <v>13</v>
      </c>
      <c r="X34" s="26" t="s">
        <v>13</v>
      </c>
      <c r="Y34" s="26" t="s">
        <v>13</v>
      </c>
      <c r="Z34" s="26" t="s">
        <v>13</v>
      </c>
      <c r="AA34" s="26" t="s">
        <v>13</v>
      </c>
      <c r="AB34" s="26" t="s">
        <v>13</v>
      </c>
      <c r="AC34" s="26" t="s">
        <v>13</v>
      </c>
      <c r="AD34" s="26" t="s">
        <v>13</v>
      </c>
      <c r="AE34" s="26" t="s">
        <v>13</v>
      </c>
      <c r="AF34" s="26" t="s">
        <v>13</v>
      </c>
      <c r="AG34" s="26" t="s">
        <v>13</v>
      </c>
      <c r="AH34" s="26" t="s">
        <v>13</v>
      </c>
      <c r="AI34" s="26" t="s">
        <v>13</v>
      </c>
      <c r="AJ34" s="26" t="s">
        <v>13</v>
      </c>
      <c r="AK34" s="26" t="s">
        <v>13</v>
      </c>
      <c r="AL34" s="26" t="s">
        <v>13</v>
      </c>
    </row>
    <row r="35" ht="15.75" customHeight="1">
      <c r="A35" s="27" t="s">
        <v>14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28"/>
      <c r="N35" s="13"/>
      <c r="O35" s="13"/>
      <c r="P35" s="28"/>
      <c r="Q35" s="13"/>
      <c r="R35" s="13"/>
      <c r="S35" s="28">
        <v>1.0</v>
      </c>
      <c r="T35" s="13"/>
      <c r="U35" s="13"/>
      <c r="V35" s="13"/>
      <c r="W35" s="13"/>
      <c r="X35" s="13"/>
      <c r="Y35" s="13"/>
      <c r="Z35" s="28">
        <v>1.0</v>
      </c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ht="15.75" customHeight="1">
      <c r="A36" s="27" t="s">
        <v>15</v>
      </c>
      <c r="B36" s="28"/>
      <c r="C36" s="13"/>
      <c r="D36" s="28"/>
      <c r="E36" s="13"/>
      <c r="F36" s="13"/>
      <c r="G36" s="28">
        <v>1.0</v>
      </c>
      <c r="H36" s="13"/>
      <c r="I36" s="28"/>
      <c r="J36" s="28"/>
      <c r="K36" s="28">
        <v>1.0</v>
      </c>
      <c r="L36" s="28"/>
      <c r="M36" s="28"/>
      <c r="N36" s="28">
        <v>2.0</v>
      </c>
      <c r="O36" s="13"/>
      <c r="P36" s="28"/>
      <c r="Q36" s="13"/>
      <c r="R36" s="28"/>
      <c r="S36" s="13"/>
      <c r="T36" s="28">
        <v>1.0</v>
      </c>
      <c r="U36" s="13"/>
      <c r="V36" s="28">
        <v>1.0</v>
      </c>
      <c r="W36" s="28"/>
      <c r="X36" s="28"/>
      <c r="Y36" s="28"/>
      <c r="Z36" s="28"/>
      <c r="AA36" s="28"/>
      <c r="AB36" s="28"/>
      <c r="AC36" s="13"/>
      <c r="AD36" s="28"/>
      <c r="AE36" s="28"/>
      <c r="AF36" s="28">
        <v>1.0</v>
      </c>
      <c r="AG36" s="28"/>
      <c r="AH36" s="28"/>
      <c r="AI36" s="28">
        <v>1.0</v>
      </c>
      <c r="AJ36" s="28"/>
      <c r="AK36" s="28"/>
      <c r="AL36" s="28"/>
    </row>
    <row r="37" ht="15.75" customHeight="1">
      <c r="A37" s="29" t="s">
        <v>16</v>
      </c>
      <c r="B37" s="30"/>
      <c r="C37" s="30">
        <v>1.0</v>
      </c>
      <c r="D37" s="30"/>
      <c r="E37" s="30">
        <v>2.0</v>
      </c>
      <c r="F37" s="30">
        <v>1.0</v>
      </c>
      <c r="G37" s="30">
        <v>1.0</v>
      </c>
      <c r="H37" s="30"/>
      <c r="I37" s="31"/>
      <c r="J37" s="31"/>
      <c r="K37" s="31"/>
      <c r="L37" s="30"/>
      <c r="M37" s="30"/>
      <c r="N37" s="31"/>
      <c r="O37" s="31"/>
      <c r="P37" s="30">
        <v>1.0</v>
      </c>
      <c r="Q37" s="30"/>
      <c r="R37" s="30">
        <v>1.0</v>
      </c>
      <c r="S37" s="31"/>
      <c r="T37" s="30"/>
      <c r="U37" s="31"/>
      <c r="V37" s="31"/>
      <c r="W37" s="31"/>
      <c r="X37" s="30">
        <v>1.0</v>
      </c>
      <c r="Y37" s="31"/>
      <c r="Z37" s="30"/>
      <c r="AA37" s="31"/>
      <c r="AB37" s="31"/>
      <c r="AC37" s="31"/>
      <c r="AD37" s="30">
        <v>2.0</v>
      </c>
      <c r="AE37" s="31"/>
      <c r="AF37" s="30"/>
      <c r="AG37" s="31"/>
      <c r="AH37" s="31"/>
      <c r="AI37" s="31"/>
      <c r="AJ37" s="30"/>
      <c r="AK37" s="31"/>
      <c r="AL37" s="31"/>
    </row>
    <row r="38" ht="15.75" customHeight="1">
      <c r="A38" s="18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ht="15.75" customHeight="1">
      <c r="A39" s="32" t="s">
        <v>17</v>
      </c>
      <c r="B39" s="33">
        <v>12.0</v>
      </c>
      <c r="C39" s="33">
        <v>18.0</v>
      </c>
      <c r="D39" s="33">
        <v>9.0</v>
      </c>
      <c r="E39" s="33">
        <v>13.0</v>
      </c>
      <c r="F39" s="33">
        <v>19.0</v>
      </c>
      <c r="G39" s="33">
        <v>10.0</v>
      </c>
      <c r="H39" s="33">
        <v>9.0</v>
      </c>
      <c r="I39" s="33">
        <v>9.0</v>
      </c>
      <c r="J39" s="33">
        <v>6.0</v>
      </c>
      <c r="K39" s="33">
        <v>6.0</v>
      </c>
      <c r="L39" s="33">
        <v>8.0</v>
      </c>
      <c r="M39" s="33">
        <v>10.0</v>
      </c>
      <c r="N39" s="33">
        <v>12.0</v>
      </c>
      <c r="O39" s="33">
        <v>13.0</v>
      </c>
      <c r="P39" s="33">
        <v>7.0</v>
      </c>
      <c r="Q39" s="33">
        <v>8.0</v>
      </c>
      <c r="R39" s="33">
        <v>2.0</v>
      </c>
      <c r="S39" s="33">
        <v>6.0</v>
      </c>
      <c r="T39" s="33">
        <v>6.0</v>
      </c>
      <c r="U39" s="33">
        <v>8.0</v>
      </c>
      <c r="V39" s="33">
        <v>6.0</v>
      </c>
      <c r="W39" s="33">
        <v>12.0</v>
      </c>
      <c r="X39" s="33">
        <v>4.0</v>
      </c>
      <c r="Y39" s="33">
        <v>5.0</v>
      </c>
      <c r="Z39" s="33">
        <v>4.0</v>
      </c>
      <c r="AA39" s="33">
        <v>6.0</v>
      </c>
      <c r="AB39" s="33">
        <v>7.0</v>
      </c>
      <c r="AC39" s="33">
        <v>3.0</v>
      </c>
      <c r="AD39" s="33">
        <v>6.0</v>
      </c>
      <c r="AE39" s="33">
        <v>4.0</v>
      </c>
      <c r="AF39" s="33">
        <v>4.0</v>
      </c>
      <c r="AG39" s="33">
        <v>8.0</v>
      </c>
      <c r="AH39" s="33">
        <v>7.0</v>
      </c>
      <c r="AI39" s="33">
        <v>9.0</v>
      </c>
      <c r="AJ39" s="33">
        <v>6.0</v>
      </c>
      <c r="AK39" s="33">
        <v>3.0</v>
      </c>
      <c r="AL39" s="33">
        <v>3.0</v>
      </c>
    </row>
    <row r="40" ht="15.75" customHeight="1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ht="15.75" customHeight="1">
      <c r="A41" s="34" t="s">
        <v>18</v>
      </c>
      <c r="B41" s="35" t="s">
        <v>13</v>
      </c>
      <c r="C41" s="35" t="s">
        <v>13</v>
      </c>
      <c r="D41" s="35" t="s">
        <v>13</v>
      </c>
      <c r="E41" s="35" t="s">
        <v>13</v>
      </c>
      <c r="F41" s="35" t="s">
        <v>13</v>
      </c>
      <c r="G41" s="35" t="s">
        <v>13</v>
      </c>
      <c r="H41" s="35" t="s">
        <v>13</v>
      </c>
      <c r="I41" s="35" t="s">
        <v>13</v>
      </c>
      <c r="J41" s="35" t="s">
        <v>13</v>
      </c>
      <c r="K41" s="35" t="s">
        <v>13</v>
      </c>
      <c r="L41" s="35" t="s">
        <v>13</v>
      </c>
      <c r="M41" s="35" t="s">
        <v>13</v>
      </c>
      <c r="N41" s="35" t="s">
        <v>13</v>
      </c>
      <c r="O41" s="35" t="s">
        <v>13</v>
      </c>
      <c r="P41" s="35" t="s">
        <v>13</v>
      </c>
      <c r="Q41" s="35" t="s">
        <v>13</v>
      </c>
      <c r="R41" s="35" t="s">
        <v>13</v>
      </c>
      <c r="S41" s="35" t="s">
        <v>13</v>
      </c>
      <c r="T41" s="35" t="s">
        <v>13</v>
      </c>
      <c r="U41" s="35" t="s">
        <v>13</v>
      </c>
      <c r="V41" s="35" t="s">
        <v>13</v>
      </c>
      <c r="W41" s="35" t="s">
        <v>13</v>
      </c>
      <c r="X41" s="35" t="s">
        <v>13</v>
      </c>
      <c r="Y41" s="35" t="s">
        <v>13</v>
      </c>
      <c r="Z41" s="35" t="s">
        <v>13</v>
      </c>
      <c r="AA41" s="35" t="s">
        <v>13</v>
      </c>
      <c r="AB41" s="35" t="s">
        <v>13</v>
      </c>
      <c r="AC41" s="35" t="s">
        <v>13</v>
      </c>
      <c r="AD41" s="35" t="s">
        <v>13</v>
      </c>
      <c r="AE41" s="35" t="s">
        <v>13</v>
      </c>
      <c r="AF41" s="35" t="s">
        <v>13</v>
      </c>
      <c r="AG41" s="35" t="s">
        <v>13</v>
      </c>
      <c r="AH41" s="35" t="s">
        <v>13</v>
      </c>
      <c r="AI41" s="35" t="s">
        <v>13</v>
      </c>
      <c r="AJ41" s="35" t="s">
        <v>13</v>
      </c>
      <c r="AK41" s="35" t="s">
        <v>13</v>
      </c>
      <c r="AL41" s="35" t="s">
        <v>13</v>
      </c>
    </row>
    <row r="42" ht="15.75" customHeight="1">
      <c r="A42" s="36" t="s">
        <v>19</v>
      </c>
      <c r="B42" s="37">
        <v>1.0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7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</row>
    <row r="43" ht="15.75" customHeight="1">
      <c r="A43" s="36" t="s">
        <v>20</v>
      </c>
      <c r="B43" s="37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7"/>
      <c r="N43" s="38"/>
      <c r="O43" s="38"/>
      <c r="P43" s="37"/>
      <c r="Q43" s="38"/>
      <c r="R43" s="38"/>
      <c r="S43" s="38"/>
      <c r="T43" s="38"/>
      <c r="U43" s="38"/>
      <c r="V43" s="38"/>
      <c r="W43" s="38"/>
      <c r="X43" s="37"/>
      <c r="Y43" s="37"/>
      <c r="Z43" s="38"/>
      <c r="AA43" s="38"/>
      <c r="AB43" s="38"/>
      <c r="AC43" s="38"/>
      <c r="AD43" s="37"/>
      <c r="AE43" s="38"/>
      <c r="AF43" s="38"/>
      <c r="AG43" s="38"/>
      <c r="AH43" s="38"/>
      <c r="AI43" s="38"/>
      <c r="AJ43" s="38"/>
      <c r="AK43" s="38"/>
      <c r="AL43" s="38"/>
    </row>
    <row r="44" ht="15.75" customHeight="1">
      <c r="A44" s="36" t="s">
        <v>21</v>
      </c>
      <c r="B44" s="37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7"/>
      <c r="O44" s="38"/>
      <c r="P44" s="38"/>
      <c r="Q44" s="37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</row>
    <row r="45" ht="15.75" customHeight="1">
      <c r="A45" s="36" t="s">
        <v>22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7"/>
      <c r="Y45" s="37"/>
      <c r="Z45" s="37">
        <v>1.0</v>
      </c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</row>
    <row r="46" ht="15.75" customHeight="1">
      <c r="A46" s="36" t="s">
        <v>23</v>
      </c>
      <c r="B46" s="37">
        <v>10.0</v>
      </c>
      <c r="C46" s="37">
        <v>14.0</v>
      </c>
      <c r="D46" s="37">
        <v>6.0</v>
      </c>
      <c r="E46" s="37">
        <v>5.0</v>
      </c>
      <c r="F46" s="37">
        <v>5.0</v>
      </c>
      <c r="G46" s="37">
        <v>23.0</v>
      </c>
      <c r="H46" s="37">
        <v>9.0</v>
      </c>
      <c r="I46" s="37">
        <v>24.0</v>
      </c>
      <c r="J46" s="37">
        <v>14.0</v>
      </c>
      <c r="K46" s="37">
        <v>7.0</v>
      </c>
      <c r="L46" s="37">
        <v>4.0</v>
      </c>
      <c r="M46" s="37">
        <v>9.0</v>
      </c>
      <c r="N46" s="37">
        <v>14.0</v>
      </c>
      <c r="O46" s="37">
        <v>23.0</v>
      </c>
      <c r="P46" s="37">
        <v>20.0</v>
      </c>
      <c r="Q46" s="37">
        <v>19.0</v>
      </c>
      <c r="R46" s="37">
        <v>14.0</v>
      </c>
      <c r="S46" s="37">
        <v>6.0</v>
      </c>
      <c r="T46" s="37">
        <v>5.0</v>
      </c>
      <c r="U46" s="37">
        <v>9.0</v>
      </c>
      <c r="V46" s="37">
        <v>15.0</v>
      </c>
      <c r="W46" s="37">
        <v>16.0</v>
      </c>
      <c r="X46" s="37">
        <v>12.0</v>
      </c>
      <c r="Y46" s="37">
        <v>5.0</v>
      </c>
      <c r="Z46" s="37">
        <v>7.0</v>
      </c>
      <c r="AA46" s="37">
        <v>7.0</v>
      </c>
      <c r="AB46" s="37">
        <v>15.0</v>
      </c>
      <c r="AC46" s="37">
        <v>5.0</v>
      </c>
      <c r="AD46" s="37">
        <v>10.0</v>
      </c>
      <c r="AE46" s="37">
        <v>22.0</v>
      </c>
      <c r="AF46" s="37">
        <v>4.0</v>
      </c>
      <c r="AG46" s="37">
        <v>2.0</v>
      </c>
      <c r="AH46" s="37">
        <v>5.0</v>
      </c>
      <c r="AI46" s="37">
        <v>11.0</v>
      </c>
      <c r="AJ46" s="37">
        <v>8.0</v>
      </c>
      <c r="AK46" s="37">
        <v>12.0</v>
      </c>
      <c r="AL46" s="37">
        <v>7.0</v>
      </c>
    </row>
    <row r="47" ht="15.75" customHeight="1">
      <c r="A47" s="36" t="s">
        <v>24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</row>
    <row r="48" ht="15.75" customHeight="1">
      <c r="A48" s="36" t="s">
        <v>25</v>
      </c>
      <c r="B48" s="37">
        <v>3.0</v>
      </c>
      <c r="C48" s="37">
        <v>2.0</v>
      </c>
      <c r="D48" s="37">
        <v>3.0</v>
      </c>
      <c r="E48" s="37">
        <v>5.0</v>
      </c>
      <c r="F48" s="37">
        <v>3.0</v>
      </c>
      <c r="G48" s="37">
        <v>3.0</v>
      </c>
      <c r="H48" s="37">
        <v>2.0</v>
      </c>
      <c r="I48" s="37">
        <v>1.0</v>
      </c>
      <c r="J48" s="37">
        <v>1.0</v>
      </c>
      <c r="K48" s="38"/>
      <c r="L48" s="37">
        <v>3.0</v>
      </c>
      <c r="M48" s="37">
        <v>3.0</v>
      </c>
      <c r="N48" s="37">
        <v>3.0</v>
      </c>
      <c r="O48" s="37">
        <v>5.0</v>
      </c>
      <c r="P48" s="37">
        <v>6.0</v>
      </c>
      <c r="Q48" s="37">
        <v>4.0</v>
      </c>
      <c r="R48" s="37">
        <v>2.0</v>
      </c>
      <c r="S48" s="37">
        <v>3.0</v>
      </c>
      <c r="T48" s="37"/>
      <c r="U48" s="37">
        <v>3.0</v>
      </c>
      <c r="V48" s="37">
        <v>7.0</v>
      </c>
      <c r="W48" s="37"/>
      <c r="X48" s="37">
        <v>1.0</v>
      </c>
      <c r="Y48" s="37">
        <v>1.0</v>
      </c>
      <c r="Z48" s="37">
        <v>1.0</v>
      </c>
      <c r="AA48" s="37">
        <v>1.0</v>
      </c>
      <c r="AB48" s="37">
        <v>2.0</v>
      </c>
      <c r="AC48" s="37"/>
      <c r="AD48" s="37">
        <v>3.0</v>
      </c>
      <c r="AE48" s="37">
        <v>2.0</v>
      </c>
      <c r="AF48" s="37">
        <v>1.0</v>
      </c>
      <c r="AG48" s="37"/>
      <c r="AH48" s="37">
        <v>4.0</v>
      </c>
      <c r="AI48" s="37">
        <v>2.0</v>
      </c>
      <c r="AJ48" s="37">
        <v>2.0</v>
      </c>
      <c r="AK48" s="37"/>
      <c r="AL48" s="37">
        <v>1.0</v>
      </c>
    </row>
    <row r="49" ht="15.75" customHeight="1">
      <c r="A49" s="39" t="s">
        <v>26</v>
      </c>
      <c r="B49" s="40"/>
      <c r="C49" s="41"/>
      <c r="D49" s="40"/>
      <c r="E49" s="41"/>
      <c r="F49" s="41"/>
      <c r="G49" s="40"/>
      <c r="H49" s="40"/>
      <c r="I49" s="41">
        <v>2.0</v>
      </c>
      <c r="J49" s="40"/>
      <c r="K49" s="40"/>
      <c r="L49" s="40"/>
      <c r="M49" s="40"/>
      <c r="N49" s="41">
        <v>3.0</v>
      </c>
      <c r="O49" s="40"/>
      <c r="P49" s="40"/>
      <c r="Q49" s="41">
        <v>1.0</v>
      </c>
      <c r="R49" s="41">
        <v>2.0</v>
      </c>
      <c r="S49" s="41"/>
      <c r="T49" s="40"/>
      <c r="U49" s="40"/>
      <c r="V49" s="40"/>
      <c r="W49" s="41">
        <v>1.0</v>
      </c>
      <c r="X49" s="40"/>
      <c r="Y49" s="41">
        <v>1.0</v>
      </c>
      <c r="Z49" s="40"/>
      <c r="AA49" s="40"/>
      <c r="AB49" s="40"/>
      <c r="AC49" s="41">
        <v>1.0</v>
      </c>
      <c r="AD49" s="40"/>
      <c r="AE49" s="40"/>
      <c r="AF49" s="40"/>
      <c r="AG49" s="40"/>
      <c r="AH49" s="40"/>
      <c r="AI49" s="41"/>
      <c r="AJ49" s="41"/>
      <c r="AK49" s="40"/>
      <c r="AL49" s="41"/>
    </row>
    <row r="50" ht="15.75" customHeight="1">
      <c r="A50" s="42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ht="15.75" customHeight="1"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</row>
    <row r="52" ht="30.75" customHeight="1">
      <c r="A52" s="43"/>
    </row>
    <row r="53" ht="30.75" customHeight="1">
      <c r="A53" s="43"/>
    </row>
    <row r="54" ht="15.75" customHeight="1"/>
    <row r="55" ht="15.75" customHeight="1">
      <c r="A55" s="3" t="s">
        <v>0</v>
      </c>
      <c r="B55" s="44" t="str">
        <f>IF(COUNTIF('Interessados em analise'!$B$1:$B$45,B57)=0,"✅",COUNTIF('Interessados em analise'!$B$1:$B$45,B57)&amp;"❌")</f>
        <v>✅</v>
      </c>
      <c r="C55" s="44" t="str">
        <f>IF(COUNTIF('Interessados em analise'!$B$1:$B$45,C57)=0,"✅",COUNTIF('Interessados em analise'!$B$1:$B$45,C57)&amp;"❌")</f>
        <v>✅</v>
      </c>
      <c r="D55" s="44" t="str">
        <f>IF(COUNTIF('Interessados em analise'!$B$1:$B$45,D57)=0,"✅",COUNTIF('Interessados em analise'!$B$1:$B$45,D57)&amp;"❌")</f>
        <v>✅</v>
      </c>
      <c r="E55" s="44" t="str">
        <f>IF(COUNTIF('Interessados em analise'!$B$1:$B$45,E57)=0,"✅",COUNTIF('Interessados em analise'!$B$1:$B$45,E57)&amp;"❌")</f>
        <v>✅</v>
      </c>
      <c r="F55" s="44" t="str">
        <f>IF(COUNTIF('Interessados em analise'!$B$1:$B$45,F57)=0,"✅",COUNTIF('Interessados em analise'!$B$1:$B$45,F57)&amp;"❌")</f>
        <v>1❌</v>
      </c>
      <c r="G55" s="44" t="str">
        <f>IF(COUNTIF('Interessados em analise'!$B$1:$B$45,G57)=0,"✅",COUNTIF('Interessados em analise'!$B$1:$B$45,G57)&amp;"❌")</f>
        <v>✅</v>
      </c>
      <c r="H55" s="44" t="str">
        <f>IF(COUNTIF('Interessados em analise'!$B$1:$B$45,H57)=0,"✅",COUNTIF('Interessados em analise'!$B$1:$B$45,H57)&amp;"❌")</f>
        <v>✅</v>
      </c>
      <c r="I55" s="44" t="str">
        <f>IF(COUNTIF('Interessados em analise'!$B$1:$B$45,I57)=0,"✅",COUNTIF('Interessados em analise'!$B$1:$B$45,I57)&amp;"❌")</f>
        <v>✅</v>
      </c>
      <c r="J55" s="44" t="str">
        <f>IF(COUNTIF('Interessados em analise'!$B$1:$B$45,J57)=0,"✅",COUNTIF('Interessados em analise'!$B$1:$B$45,J57)&amp;"❌")</f>
        <v>✅</v>
      </c>
      <c r="K55" s="44" t="str">
        <f>IF(COUNTIF('Interessados em analise'!$B$1:$B$45,K57)=0,"✅",COUNTIF('Interessados em analise'!$B$1:$B$45,K57)&amp;"❌")</f>
        <v>✅</v>
      </c>
      <c r="L55" s="44" t="str">
        <f>IF(COUNTIF('Interessados em analise'!$B$1:$B$45,L57)=0,"✅",COUNTIF('Interessados em analise'!$B$1:$B$45,L57)&amp;"❌")</f>
        <v>✅</v>
      </c>
      <c r="M55" s="44" t="str">
        <f>IF(COUNTIF('Interessados em analise'!$B$1:$B$45,M57)=0,"✅",COUNTIF('Interessados em analise'!$B$1:$B$45,M57)&amp;"❌")</f>
        <v>✅</v>
      </c>
      <c r="N55" s="44" t="str">
        <f>IF(COUNTIF('Interessados em analise'!$B$1:$B$45,N57)=0,"✅",COUNTIF('Interessados em analise'!$B$1:$B$45,N57)&amp;"❌")</f>
        <v>✅</v>
      </c>
      <c r="O55" s="44" t="str">
        <f>IF(COUNTIF('Interessados em analise'!$B$1:$B$45,O57)=0,"✅",COUNTIF('Interessados em analise'!$B$1:$B$45,O57)&amp;"❌")</f>
        <v>✅</v>
      </c>
      <c r="P55" s="44" t="str">
        <f>IF(COUNTIF('Interessados em analise'!$B$1:$B$45,P57)=0,"✅",COUNTIF('Interessados em analise'!$B$1:$B$45,P57)&amp;"❌")</f>
        <v>✅</v>
      </c>
      <c r="Q55" s="44" t="str">
        <f>IF(COUNTIF('Interessados em analise'!$B$1:$B$45,Q57)=0,"✅",COUNTIF('Interessados em analise'!$B$1:$B$45,Q57)&amp;"❌")</f>
        <v>✅</v>
      </c>
      <c r="R55" s="44" t="str">
        <f>IF(COUNTIF('Interessados em analise'!$B$1:$B$45,R57)=0,"✅",COUNTIF('Interessados em analise'!$B$1:$B$45,R57)&amp;"❌")</f>
        <v>✅</v>
      </c>
      <c r="S55" s="44" t="str">
        <f>IF(COUNTIF('Interessados em analise'!$B$1:$B$45,S57)=0,"✅",COUNTIF('Interessados em analise'!$B$1:$B$45,S57)&amp;"❌")</f>
        <v>✅</v>
      </c>
      <c r="T55" s="44" t="str">
        <f>IF(COUNTIF('Interessados em analise'!$B$1:$B$45,T57)=0,"✅",COUNTIF('Interessados em analise'!$B$1:$B$45,T57)&amp;"❌")</f>
        <v>✅</v>
      </c>
      <c r="U55" s="44" t="str">
        <f>IF(COUNTIF('Interessados em analise'!$B$1:$B$45,U57)=0,"✅",COUNTIF('Interessados em analise'!$B$1:$B$45,U57)&amp;"❌")</f>
        <v>✅</v>
      </c>
      <c r="V55" s="44" t="str">
        <f>IF(COUNTIF('Interessados em analise'!$B$1:$B$45,V57)=0,"✅",COUNTIF('Interessados em analise'!$B$1:$B$45,V57)&amp;"❌")</f>
        <v>✅</v>
      </c>
      <c r="W55" s="44" t="str">
        <f>IF(COUNTIF('Interessados em analise'!$B$1:$B$45,W57)=0,"✅",COUNTIF('Interessados em analise'!$B$1:$B$45,W57)&amp;"❌")</f>
        <v>✅</v>
      </c>
      <c r="X55" s="44" t="str">
        <f>IF(COUNTIF('Interessados em analise'!$B$1:$B$45,X57)=0,"✅",COUNTIF('Interessados em analise'!$B$1:$B$45,X57)&amp;"❌")</f>
        <v>✅</v>
      </c>
      <c r="Y55" s="44" t="str">
        <f>IF(COUNTIF('Interessados em analise'!$B$1:$B$45,Y57)=0,"✅",COUNTIF('Interessados em analise'!$B$1:$B$45,Y57)&amp;"❌")</f>
        <v>✅</v>
      </c>
      <c r="Z55" s="44" t="str">
        <f>IF(COUNTIF('Interessados em analise'!$B$1:$B$45,Z57)=0,"✅",COUNTIF('Interessados em analise'!$B$1:$B$45,Z57)&amp;"❌")</f>
        <v>✅</v>
      </c>
      <c r="AA55" s="44" t="str">
        <f>IF(COUNTIF('Interessados em analise'!$B$1:$B$45,AA57)=0,"✅",COUNTIF('Interessados em analise'!$B$1:$B$45,AA57)&amp;"❌")</f>
        <v>✅</v>
      </c>
      <c r="AB55" s="44" t="str">
        <f>IF(COUNTIF('Interessados em analise'!$B$1:$B$45,AB57)=0,"✅",COUNTIF('Interessados em analise'!$B$1:$B$45,AB57)&amp;"❌")</f>
        <v>✅</v>
      </c>
      <c r="AC55" s="44" t="str">
        <f>IF(COUNTIF('Interessados em analise'!$B$1:$B$45,AC57)=0,"✅",COUNTIF('Interessados em analise'!$B$1:$B$45,AC57)&amp;"❌")</f>
        <v>✅</v>
      </c>
      <c r="AD55" s="44" t="str">
        <f>IF(COUNTIF('Interessados em analise'!$B$1:$B$45,AD57)=0,"✅",COUNTIF('Interessados em analise'!$B$1:$B$45,AD57)&amp;"❌")</f>
        <v>✅</v>
      </c>
      <c r="AE55" s="44" t="str">
        <f>IF(COUNTIF('Interessados em analise'!$B$1:$B$45,AE57)=0,"✅",COUNTIF('Interessados em analise'!$B$1:$B$45,AE57)&amp;"❌")</f>
        <v>✅</v>
      </c>
      <c r="AF55" s="44" t="str">
        <f>IF(COUNTIF('Interessados em analise'!$B$1:$B$45,AF57)=0,"✅",COUNTIF('Interessados em analise'!$B$1:$B$45,AF57)&amp;"❌")</f>
        <v>✅</v>
      </c>
      <c r="AG55" s="44" t="str">
        <f>IF(COUNTIF('Interessados em analise'!$B$1:$B$45,AG57)=0,"✅",COUNTIF('Interessados em analise'!$B$1:$B$45,AG57)&amp;"❌")</f>
        <v>✅</v>
      </c>
      <c r="AH55" s="44" t="str">
        <f>IF(COUNTIF('Interessados em analise'!$B$1:$B$45,AH57)=0,"✅",COUNTIF('Interessados em analise'!$B$1:$B$45,AH57)&amp;"❌")</f>
        <v>✅</v>
      </c>
      <c r="AI55" s="44" t="str">
        <f>IF(COUNTIF('Interessados em analise'!$B$1:$B$45,AI57)=0,"✅",COUNTIF('Interessados em analise'!$B$1:$B$45,AI57)&amp;"❌")</f>
        <v>✅</v>
      </c>
      <c r="AJ55" s="44" t="str">
        <f>IF(COUNTIF('Interessados em analise'!$B$1:$B$45,AJ57)=0,"✅",COUNTIF('Interessados em analise'!$B$1:$B$45,AJ57)&amp;"❌")</f>
        <v>✅</v>
      </c>
      <c r="AK55" s="44" t="str">
        <f>IF(COUNTIF('Interessados em analise'!$B$1:$B$45,AK57)=0,"✅",COUNTIF('Interessados em analise'!$B$1:$B$45,AK57)&amp;"❌")</f>
        <v>✅</v>
      </c>
      <c r="AL55" s="44" t="str">
        <f>IF(COUNTIF('Interessados em analise'!$B$1:$B$45,AL57)=0,"✅",COUNTIF('Interessados em analise'!$B$1:$B$45,AL57)&amp;"❌")</f>
        <v>✅</v>
      </c>
    </row>
    <row r="56" ht="15.75" customHeight="1">
      <c r="A56" s="18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</row>
    <row r="57" ht="15.75" customHeight="1">
      <c r="A57" s="21" t="s">
        <v>10</v>
      </c>
      <c r="B57" s="47">
        <v>46290.0</v>
      </c>
      <c r="C57" s="47">
        <v>46291.0</v>
      </c>
      <c r="D57" s="47">
        <v>46292.0</v>
      </c>
      <c r="E57" s="47">
        <v>46293.0</v>
      </c>
      <c r="F57" s="47">
        <v>46294.0</v>
      </c>
      <c r="G57" s="47">
        <v>46295.0</v>
      </c>
      <c r="H57" s="47">
        <v>46296.0</v>
      </c>
      <c r="I57" s="47">
        <v>46297.0</v>
      </c>
      <c r="J57" s="47">
        <v>46298.0</v>
      </c>
      <c r="K57" s="47">
        <v>46299.0</v>
      </c>
      <c r="L57" s="47">
        <v>46300.0</v>
      </c>
      <c r="M57" s="47">
        <v>46301.0</v>
      </c>
      <c r="N57" s="47">
        <v>46302.0</v>
      </c>
      <c r="O57" s="47">
        <v>46303.0</v>
      </c>
      <c r="P57" s="47">
        <v>46304.0</v>
      </c>
      <c r="Q57" s="47">
        <v>46305.0</v>
      </c>
      <c r="R57" s="47">
        <v>46306.0</v>
      </c>
      <c r="S57" s="47">
        <v>46307.0</v>
      </c>
      <c r="T57" s="47">
        <v>46308.0</v>
      </c>
      <c r="U57" s="47">
        <v>46309.0</v>
      </c>
      <c r="V57" s="47">
        <v>46310.0</v>
      </c>
      <c r="W57" s="47">
        <v>46311.0</v>
      </c>
      <c r="X57" s="47">
        <v>46312.0</v>
      </c>
      <c r="Y57" s="47">
        <v>46313.0</v>
      </c>
      <c r="Z57" s="47">
        <v>46314.0</v>
      </c>
      <c r="AA57" s="47">
        <v>46315.0</v>
      </c>
      <c r="AB57" s="47">
        <v>46316.0</v>
      </c>
      <c r="AC57" s="47">
        <v>46317.0</v>
      </c>
      <c r="AD57" s="47">
        <v>46318.0</v>
      </c>
      <c r="AE57" s="47">
        <v>46319.0</v>
      </c>
      <c r="AF57" s="47">
        <v>46320.0</v>
      </c>
      <c r="AG57" s="47">
        <v>46321.0</v>
      </c>
      <c r="AH57" s="47">
        <v>46322.0</v>
      </c>
      <c r="AI57" s="47">
        <v>46323.0</v>
      </c>
      <c r="AJ57" s="47">
        <v>46324.0</v>
      </c>
      <c r="AK57" s="47">
        <v>46325.0</v>
      </c>
      <c r="AL57" s="47">
        <v>46326.0</v>
      </c>
    </row>
    <row r="58" ht="15.75" customHeight="1">
      <c r="A58" s="18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</row>
    <row r="59" ht="15.75" customHeight="1">
      <c r="A59" s="21" t="s">
        <v>11</v>
      </c>
      <c r="B59" s="48">
        <f t="shared" ref="B59:AL59" si="3">SUM(B62:B64,B66,B69:B75)</f>
        <v>13</v>
      </c>
      <c r="C59" s="48">
        <f t="shared" si="3"/>
        <v>6</v>
      </c>
      <c r="D59" s="48">
        <f t="shared" si="3"/>
        <v>6</v>
      </c>
      <c r="E59" s="48">
        <f t="shared" si="3"/>
        <v>18</v>
      </c>
      <c r="F59" s="48">
        <f t="shared" si="3"/>
        <v>11</v>
      </c>
      <c r="G59" s="48">
        <f t="shared" si="3"/>
        <v>6</v>
      </c>
      <c r="H59" s="48">
        <f t="shared" si="3"/>
        <v>10</v>
      </c>
      <c r="I59" s="48">
        <f t="shared" si="3"/>
        <v>0</v>
      </c>
      <c r="J59" s="48">
        <f t="shared" si="3"/>
        <v>0</v>
      </c>
      <c r="K59" s="48">
        <f t="shared" si="3"/>
        <v>0</v>
      </c>
      <c r="L59" s="48">
        <f t="shared" si="3"/>
        <v>0</v>
      </c>
      <c r="M59" s="48">
        <f t="shared" si="3"/>
        <v>0</v>
      </c>
      <c r="N59" s="48">
        <f t="shared" si="3"/>
        <v>0</v>
      </c>
      <c r="O59" s="48">
        <f t="shared" si="3"/>
        <v>0</v>
      </c>
      <c r="P59" s="48">
        <f t="shared" si="3"/>
        <v>0</v>
      </c>
      <c r="Q59" s="48">
        <f t="shared" si="3"/>
        <v>0</v>
      </c>
      <c r="R59" s="48">
        <f t="shared" si="3"/>
        <v>0</v>
      </c>
      <c r="S59" s="48">
        <f t="shared" si="3"/>
        <v>0</v>
      </c>
      <c r="T59" s="48">
        <f t="shared" si="3"/>
        <v>0</v>
      </c>
      <c r="U59" s="48">
        <f t="shared" si="3"/>
        <v>0</v>
      </c>
      <c r="V59" s="48">
        <f t="shared" si="3"/>
        <v>0</v>
      </c>
      <c r="W59" s="48">
        <f t="shared" si="3"/>
        <v>0</v>
      </c>
      <c r="X59" s="48">
        <f t="shared" si="3"/>
        <v>0</v>
      </c>
      <c r="Y59" s="48">
        <f t="shared" si="3"/>
        <v>0</v>
      </c>
      <c r="Z59" s="48">
        <f t="shared" si="3"/>
        <v>0</v>
      </c>
      <c r="AA59" s="48">
        <f t="shared" si="3"/>
        <v>0</v>
      </c>
      <c r="AB59" s="48">
        <f t="shared" si="3"/>
        <v>0</v>
      </c>
      <c r="AC59" s="48">
        <f t="shared" si="3"/>
        <v>0</v>
      </c>
      <c r="AD59" s="48">
        <f t="shared" si="3"/>
        <v>0</v>
      </c>
      <c r="AE59" s="48">
        <f t="shared" si="3"/>
        <v>0</v>
      </c>
      <c r="AF59" s="48">
        <f t="shared" si="3"/>
        <v>0</v>
      </c>
      <c r="AG59" s="48">
        <f t="shared" si="3"/>
        <v>0</v>
      </c>
      <c r="AH59" s="48">
        <f t="shared" si="3"/>
        <v>0</v>
      </c>
      <c r="AI59" s="48">
        <f t="shared" si="3"/>
        <v>0</v>
      </c>
      <c r="AJ59" s="48">
        <f t="shared" si="3"/>
        <v>0</v>
      </c>
      <c r="AK59" s="48">
        <f t="shared" si="3"/>
        <v>0</v>
      </c>
      <c r="AL59" s="48">
        <f t="shared" si="3"/>
        <v>0</v>
      </c>
    </row>
    <row r="60" ht="15.75" customHeight="1">
      <c r="A60" s="18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</row>
    <row r="61" ht="15.75" customHeight="1">
      <c r="A61" s="25" t="s">
        <v>12</v>
      </c>
      <c r="B61" s="51" t="s">
        <v>13</v>
      </c>
      <c r="C61" s="51" t="s">
        <v>13</v>
      </c>
      <c r="D61" s="51" t="s">
        <v>13</v>
      </c>
      <c r="E61" s="51" t="s">
        <v>13</v>
      </c>
      <c r="F61" s="51" t="s">
        <v>13</v>
      </c>
      <c r="G61" s="51" t="s">
        <v>13</v>
      </c>
      <c r="H61" s="51" t="s">
        <v>13</v>
      </c>
      <c r="I61" s="51" t="s">
        <v>13</v>
      </c>
      <c r="J61" s="51" t="s">
        <v>13</v>
      </c>
      <c r="K61" s="51" t="s">
        <v>13</v>
      </c>
      <c r="L61" s="51" t="s">
        <v>13</v>
      </c>
      <c r="M61" s="51" t="s">
        <v>13</v>
      </c>
      <c r="N61" s="51" t="s">
        <v>13</v>
      </c>
      <c r="O61" s="51" t="s">
        <v>13</v>
      </c>
      <c r="P61" s="51" t="s">
        <v>13</v>
      </c>
      <c r="Q61" s="51" t="s">
        <v>13</v>
      </c>
      <c r="R61" s="51" t="s">
        <v>13</v>
      </c>
      <c r="S61" s="51" t="s">
        <v>13</v>
      </c>
      <c r="T61" s="51" t="s">
        <v>13</v>
      </c>
      <c r="U61" s="51" t="s">
        <v>13</v>
      </c>
      <c r="V61" s="51" t="s">
        <v>13</v>
      </c>
      <c r="W61" s="51" t="s">
        <v>13</v>
      </c>
      <c r="X61" s="51" t="s">
        <v>13</v>
      </c>
      <c r="Y61" s="51" t="s">
        <v>13</v>
      </c>
      <c r="Z61" s="51" t="s">
        <v>13</v>
      </c>
      <c r="AA61" s="51" t="s">
        <v>13</v>
      </c>
      <c r="AB61" s="51" t="s">
        <v>13</v>
      </c>
      <c r="AC61" s="51" t="s">
        <v>13</v>
      </c>
      <c r="AD61" s="51" t="s">
        <v>13</v>
      </c>
      <c r="AE61" s="51" t="s">
        <v>13</v>
      </c>
      <c r="AF61" s="51" t="s">
        <v>13</v>
      </c>
      <c r="AG61" s="51" t="s">
        <v>13</v>
      </c>
      <c r="AH61" s="51" t="s">
        <v>13</v>
      </c>
      <c r="AI61" s="51" t="s">
        <v>13</v>
      </c>
      <c r="AJ61" s="51" t="s">
        <v>13</v>
      </c>
      <c r="AK61" s="51" t="s">
        <v>13</v>
      </c>
      <c r="AL61" s="51" t="s">
        <v>13</v>
      </c>
    </row>
    <row r="62" ht="15.75" customHeight="1">
      <c r="A62" s="27" t="s">
        <v>14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3"/>
      <c r="T62" s="52"/>
      <c r="U62" s="52"/>
      <c r="V62" s="52"/>
      <c r="W62" s="52"/>
      <c r="X62" s="52"/>
      <c r="Y62" s="52"/>
      <c r="Z62" s="53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</row>
    <row r="63" ht="15.75" customHeight="1">
      <c r="A63" s="27" t="s">
        <v>15</v>
      </c>
      <c r="B63" s="54">
        <v>2.0</v>
      </c>
      <c r="C63" s="52"/>
      <c r="D63" s="52"/>
      <c r="E63" s="52"/>
      <c r="F63" s="52"/>
      <c r="G63" s="53"/>
      <c r="H63" s="52"/>
      <c r="I63" s="52"/>
      <c r="J63" s="52"/>
      <c r="K63" s="53"/>
      <c r="L63" s="52"/>
      <c r="M63" s="52"/>
      <c r="N63" s="53"/>
      <c r="O63" s="52"/>
      <c r="P63" s="52"/>
      <c r="Q63" s="52"/>
      <c r="R63" s="52"/>
      <c r="S63" s="52"/>
      <c r="T63" s="53"/>
      <c r="U63" s="52"/>
      <c r="V63" s="53"/>
      <c r="W63" s="52"/>
      <c r="X63" s="52"/>
      <c r="Y63" s="52"/>
      <c r="Z63" s="52"/>
      <c r="AA63" s="52"/>
      <c r="AB63" s="52"/>
      <c r="AC63" s="52"/>
      <c r="AD63" s="52"/>
      <c r="AE63" s="52"/>
      <c r="AF63" s="53"/>
      <c r="AG63" s="52"/>
      <c r="AH63" s="52"/>
      <c r="AI63" s="52"/>
      <c r="AJ63" s="52"/>
      <c r="AK63" s="52"/>
      <c r="AL63" s="52"/>
    </row>
    <row r="64" ht="15.75" customHeight="1">
      <c r="A64" s="29" t="s">
        <v>16</v>
      </c>
      <c r="B64" s="55"/>
      <c r="C64" s="56"/>
      <c r="D64" s="55"/>
      <c r="E64" s="56"/>
      <c r="F64" s="56"/>
      <c r="G64" s="56"/>
      <c r="H64" s="55"/>
      <c r="I64" s="55"/>
      <c r="J64" s="55"/>
      <c r="K64" s="55"/>
      <c r="L64" s="55"/>
      <c r="M64" s="55"/>
      <c r="N64" s="55"/>
      <c r="O64" s="55"/>
      <c r="P64" s="56"/>
      <c r="Q64" s="55"/>
      <c r="R64" s="56"/>
      <c r="S64" s="55"/>
      <c r="T64" s="55"/>
      <c r="U64" s="55"/>
      <c r="V64" s="55"/>
      <c r="W64" s="55"/>
      <c r="X64" s="56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</row>
    <row r="65" ht="15.75" customHeight="1">
      <c r="A65" s="18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</row>
    <row r="66" ht="15.75" customHeight="1">
      <c r="A66" s="32" t="s">
        <v>17</v>
      </c>
      <c r="B66" s="57">
        <v>3.0</v>
      </c>
      <c r="C66" s="57">
        <v>2.0</v>
      </c>
      <c r="D66" s="57">
        <v>4.0</v>
      </c>
      <c r="E66" s="57">
        <v>11.0</v>
      </c>
      <c r="F66" s="57">
        <v>3.0</v>
      </c>
      <c r="G66" s="57">
        <v>4.0</v>
      </c>
      <c r="H66" s="57">
        <v>3.0</v>
      </c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48"/>
      <c r="AJ66" s="48"/>
      <c r="AK66" s="48"/>
      <c r="AL66" s="48"/>
    </row>
    <row r="67" ht="15.75" customHeight="1">
      <c r="A67" s="18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</row>
    <row r="68" ht="15.75" customHeight="1">
      <c r="A68" s="34" t="s">
        <v>18</v>
      </c>
      <c r="B68" s="59" t="s">
        <v>13</v>
      </c>
      <c r="C68" s="59" t="s">
        <v>13</v>
      </c>
      <c r="D68" s="59" t="s">
        <v>13</v>
      </c>
      <c r="E68" s="59" t="s">
        <v>13</v>
      </c>
      <c r="F68" s="59" t="s">
        <v>13</v>
      </c>
      <c r="G68" s="59" t="s">
        <v>13</v>
      </c>
      <c r="H68" s="59" t="s">
        <v>13</v>
      </c>
      <c r="I68" s="59" t="s">
        <v>13</v>
      </c>
      <c r="J68" s="59" t="s">
        <v>13</v>
      </c>
      <c r="K68" s="59" t="s">
        <v>13</v>
      </c>
      <c r="L68" s="59" t="s">
        <v>13</v>
      </c>
      <c r="M68" s="59" t="s">
        <v>13</v>
      </c>
      <c r="N68" s="59" t="s">
        <v>13</v>
      </c>
      <c r="O68" s="59" t="s">
        <v>13</v>
      </c>
      <c r="P68" s="59" t="s">
        <v>13</v>
      </c>
      <c r="Q68" s="59" t="s">
        <v>13</v>
      </c>
      <c r="R68" s="59" t="s">
        <v>13</v>
      </c>
      <c r="S68" s="59" t="s">
        <v>13</v>
      </c>
      <c r="T68" s="59" t="s">
        <v>13</v>
      </c>
      <c r="U68" s="59" t="s">
        <v>13</v>
      </c>
      <c r="V68" s="59" t="s">
        <v>13</v>
      </c>
      <c r="W68" s="59" t="s">
        <v>13</v>
      </c>
      <c r="X68" s="59" t="s">
        <v>13</v>
      </c>
      <c r="Y68" s="59" t="s">
        <v>13</v>
      </c>
      <c r="Z68" s="59" t="s">
        <v>13</v>
      </c>
      <c r="AA68" s="59" t="s">
        <v>13</v>
      </c>
      <c r="AB68" s="59" t="s">
        <v>13</v>
      </c>
      <c r="AC68" s="59" t="s">
        <v>13</v>
      </c>
      <c r="AD68" s="59" t="s">
        <v>13</v>
      </c>
      <c r="AE68" s="59" t="s">
        <v>13</v>
      </c>
      <c r="AF68" s="59" t="s">
        <v>13</v>
      </c>
      <c r="AG68" s="59" t="s">
        <v>13</v>
      </c>
      <c r="AH68" s="59" t="s">
        <v>13</v>
      </c>
      <c r="AI68" s="59" t="s">
        <v>13</v>
      </c>
      <c r="AJ68" s="59" t="s">
        <v>13</v>
      </c>
      <c r="AK68" s="59" t="s">
        <v>13</v>
      </c>
      <c r="AL68" s="59" t="s">
        <v>13</v>
      </c>
    </row>
    <row r="69" ht="15.75" customHeight="1">
      <c r="A69" s="36" t="s">
        <v>19</v>
      </c>
      <c r="B69" s="53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</row>
    <row r="70" ht="15.75" customHeight="1">
      <c r="A70" s="36" t="s">
        <v>20</v>
      </c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</row>
    <row r="71" ht="15.75" customHeight="1">
      <c r="A71" s="36" t="s">
        <v>21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</row>
    <row r="72" ht="15.75" customHeight="1">
      <c r="A72" s="36" t="s">
        <v>22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3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</row>
    <row r="73" ht="15.75" customHeight="1">
      <c r="A73" s="36" t="s">
        <v>23</v>
      </c>
      <c r="B73" s="54">
        <v>6.0</v>
      </c>
      <c r="C73" s="54">
        <v>3.0</v>
      </c>
      <c r="D73" s="53"/>
      <c r="E73" s="54">
        <v>7.0</v>
      </c>
      <c r="F73" s="54">
        <v>7.0</v>
      </c>
      <c r="G73" s="54">
        <v>2.0</v>
      </c>
      <c r="H73" s="54">
        <v>5.0</v>
      </c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2"/>
      <c r="AJ73" s="52"/>
      <c r="AK73" s="52"/>
      <c r="AL73" s="52"/>
    </row>
    <row r="74" ht="15.75" customHeight="1">
      <c r="A74" s="36" t="s">
        <v>24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</row>
    <row r="75" ht="15.75" customHeight="1">
      <c r="A75" s="36" t="s">
        <v>25</v>
      </c>
      <c r="B75" s="54">
        <v>2.0</v>
      </c>
      <c r="C75" s="54">
        <v>1.0</v>
      </c>
      <c r="D75" s="54">
        <v>2.0</v>
      </c>
      <c r="E75" s="53"/>
      <c r="F75" s="54">
        <v>1.0</v>
      </c>
      <c r="G75" s="53"/>
      <c r="H75" s="54">
        <v>2.0</v>
      </c>
      <c r="I75" s="53"/>
      <c r="J75" s="53"/>
      <c r="K75" s="52"/>
      <c r="L75" s="53"/>
      <c r="M75" s="53"/>
      <c r="N75" s="53"/>
      <c r="O75" s="53"/>
      <c r="P75" s="53"/>
      <c r="Q75" s="53"/>
      <c r="R75" s="53"/>
      <c r="S75" s="53"/>
      <c r="T75" s="52"/>
      <c r="U75" s="53"/>
      <c r="V75" s="53"/>
      <c r="W75" s="52"/>
      <c r="X75" s="53"/>
      <c r="Y75" s="53"/>
      <c r="Z75" s="53"/>
      <c r="AA75" s="53"/>
      <c r="AB75" s="53"/>
      <c r="AC75" s="52"/>
      <c r="AD75" s="53"/>
      <c r="AE75" s="53"/>
      <c r="AF75" s="53"/>
      <c r="AG75" s="52"/>
      <c r="AH75" s="53"/>
      <c r="AI75" s="52"/>
      <c r="AJ75" s="52"/>
      <c r="AK75" s="52"/>
      <c r="AL75" s="52"/>
    </row>
    <row r="76" ht="15.75" customHeight="1">
      <c r="A76" s="39" t="s">
        <v>26</v>
      </c>
      <c r="B76" s="60">
        <v>1.0</v>
      </c>
      <c r="C76" s="55"/>
      <c r="D76" s="55"/>
      <c r="E76" s="55"/>
      <c r="F76" s="55"/>
      <c r="G76" s="55"/>
      <c r="H76" s="55"/>
      <c r="I76" s="56"/>
      <c r="J76" s="55"/>
      <c r="K76" s="55"/>
      <c r="L76" s="55"/>
      <c r="M76" s="55"/>
      <c r="N76" s="56"/>
      <c r="O76" s="55"/>
      <c r="P76" s="55"/>
      <c r="Q76" s="56"/>
      <c r="R76" s="56"/>
      <c r="S76" s="55"/>
      <c r="T76" s="55"/>
      <c r="U76" s="55"/>
      <c r="V76" s="55"/>
      <c r="W76" s="56"/>
      <c r="X76" s="55"/>
      <c r="Y76" s="56"/>
      <c r="Z76" s="55"/>
      <c r="AA76" s="55"/>
      <c r="AB76" s="55"/>
      <c r="AC76" s="56"/>
      <c r="AD76" s="55"/>
      <c r="AE76" s="55"/>
      <c r="AF76" s="55"/>
      <c r="AG76" s="55"/>
      <c r="AH76" s="55"/>
      <c r="AI76" s="55"/>
      <c r="AJ76" s="55"/>
      <c r="AK76" s="55"/>
      <c r="AL76" s="55"/>
    </row>
    <row r="77" ht="15.75" customHeight="1">
      <c r="A77" s="42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>
      <c r="A84" s="15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5:A26 A52:A53">
    <cfRule type="notContainsBlanks" dxfId="0" priority="1">
      <formula>LEN(TRIM(A25))&gt;0</formula>
    </cfRule>
  </conditionalFormatting>
  <conditionalFormatting sqref="B1:AL1 B28:AL28">
    <cfRule type="cellIs" dxfId="1" priority="2" operator="equal">
      <formula>"✅"</formula>
    </cfRule>
  </conditionalFormatting>
  <conditionalFormatting sqref="B1:AL1 B28:AL28">
    <cfRule type="cellIs" dxfId="2" priority="3" operator="equal">
      <formula>"❌"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27.25"/>
  </cols>
  <sheetData>
    <row r="1">
      <c r="A1" s="1" t="s">
        <v>1</v>
      </c>
      <c r="B1" s="10">
        <f>SUM(Dados!B9:10)</f>
        <v>66</v>
      </c>
    </row>
    <row r="2">
      <c r="A2" s="11" t="s">
        <v>5</v>
      </c>
      <c r="B2" s="10">
        <f>SUM(Dados!B8:8)</f>
        <v>2</v>
      </c>
    </row>
    <row r="3">
      <c r="A3" s="11" t="s">
        <v>6</v>
      </c>
      <c r="B3" s="12">
        <f>SUM(Dados!B15:22)</f>
        <v>242</v>
      </c>
    </row>
    <row r="4">
      <c r="A4" s="11" t="s">
        <v>7</v>
      </c>
      <c r="B4" s="12">
        <f>SUM(Dados!B12:12)</f>
        <v>233</v>
      </c>
    </row>
    <row r="5">
      <c r="A5" s="11" t="s">
        <v>2</v>
      </c>
      <c r="B5" s="12">
        <f>COUNTA('Interessados em analise'!A2:A18)</f>
        <v>2</v>
      </c>
    </row>
    <row r="6">
      <c r="A6" s="11" t="s">
        <v>8</v>
      </c>
      <c r="B6" s="13">
        <f>SUM(B1:B5)</f>
        <v>545</v>
      </c>
    </row>
    <row r="7">
      <c r="A7" s="11" t="s">
        <v>9</v>
      </c>
      <c r="B7" s="14">
        <f>DIVIDE(B1+B2,B6)</f>
        <v>0.1247706422</v>
      </c>
    </row>
    <row r="8">
      <c r="A8" s="15"/>
      <c r="C8" s="15"/>
    </row>
    <row r="9">
      <c r="A9" s="15"/>
      <c r="B9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71.38"/>
    <col customWidth="1" min="3" max="3" width="44.88"/>
    <col customWidth="1" min="5" max="5" width="40.63"/>
  </cols>
  <sheetData>
    <row r="1">
      <c r="A1" s="2" t="s">
        <v>2</v>
      </c>
      <c r="B1" s="2" t="s">
        <v>3</v>
      </c>
      <c r="C1" s="2" t="s">
        <v>4</v>
      </c>
    </row>
    <row r="2">
      <c r="A2" s="4">
        <f>5511942192114</f>
        <v>5511942192114</v>
      </c>
      <c r="B2" s="5">
        <v>46276.0</v>
      </c>
      <c r="C2" s="4"/>
      <c r="E2" s="6"/>
    </row>
    <row r="3">
      <c r="A3" s="7">
        <f>5519990093000</f>
        <v>5519990093000</v>
      </c>
      <c r="B3" s="5">
        <v>46294.0</v>
      </c>
      <c r="C3" s="4"/>
    </row>
    <row r="4">
      <c r="A4" s="7"/>
      <c r="B4" s="5"/>
      <c r="C4" s="4"/>
    </row>
    <row r="5">
      <c r="A5" s="7"/>
      <c r="B5" s="5"/>
      <c r="C5" s="7"/>
    </row>
    <row r="6">
      <c r="A6" s="7"/>
      <c r="B6" s="5"/>
      <c r="C6" s="7"/>
    </row>
    <row r="7">
      <c r="A7" s="7"/>
      <c r="B7" s="5"/>
      <c r="C7" s="7"/>
    </row>
    <row r="8">
      <c r="A8" s="7"/>
      <c r="B8" s="5"/>
      <c r="C8" s="7"/>
    </row>
    <row r="9">
      <c r="A9" s="7"/>
      <c r="B9" s="5"/>
      <c r="C9" s="7"/>
    </row>
    <row r="10">
      <c r="A10" s="7"/>
      <c r="B10" s="5"/>
      <c r="C10" s="7"/>
    </row>
    <row r="11">
      <c r="A11" s="7"/>
      <c r="B11" s="5"/>
      <c r="C11" s="7"/>
    </row>
    <row r="12">
      <c r="A12" s="7"/>
      <c r="B12" s="5"/>
      <c r="C12" s="7"/>
    </row>
    <row r="13">
      <c r="A13" s="7"/>
      <c r="B13" s="5"/>
      <c r="C13" s="7"/>
    </row>
    <row r="14">
      <c r="A14" s="7"/>
      <c r="B14" s="5"/>
      <c r="C14" s="7"/>
    </row>
    <row r="15">
      <c r="A15" s="7"/>
      <c r="B15" s="5"/>
      <c r="C15" s="7"/>
    </row>
    <row r="16">
      <c r="A16" s="7"/>
      <c r="B16" s="5"/>
      <c r="C16" s="7"/>
    </row>
    <row r="17">
      <c r="A17" s="7"/>
      <c r="B17" s="5"/>
      <c r="C17" s="7"/>
    </row>
    <row r="18">
      <c r="A18" s="7"/>
      <c r="B18" s="8"/>
      <c r="C18" s="7"/>
    </row>
    <row r="19">
      <c r="A19" s="7"/>
      <c r="B19" s="5"/>
      <c r="C19" s="7"/>
    </row>
    <row r="20">
      <c r="A20" s="7"/>
      <c r="B20" s="5"/>
      <c r="C20" s="7"/>
    </row>
    <row r="21">
      <c r="A21" s="7"/>
      <c r="B21" s="5"/>
      <c r="C21" s="7"/>
    </row>
    <row r="22">
      <c r="A22" s="7"/>
      <c r="B22" s="5"/>
      <c r="C22" s="7"/>
    </row>
    <row r="23">
      <c r="A23" s="7"/>
      <c r="B23" s="5"/>
      <c r="C23" s="7"/>
    </row>
    <row r="24">
      <c r="A24" s="7"/>
      <c r="B24" s="5"/>
      <c r="C24" s="7"/>
    </row>
    <row r="25">
      <c r="A25" s="7"/>
      <c r="B25" s="5"/>
      <c r="C25" s="7"/>
    </row>
    <row r="26">
      <c r="A26" s="7"/>
      <c r="B26" s="5"/>
      <c r="C26" s="7"/>
    </row>
    <row r="27">
      <c r="A27" s="7"/>
      <c r="B27" s="8"/>
      <c r="C27" s="7"/>
    </row>
    <row r="28">
      <c r="A28" s="7"/>
      <c r="B28" s="8"/>
      <c r="C28" s="7"/>
    </row>
    <row r="29">
      <c r="A29" s="7"/>
      <c r="B29" s="8"/>
      <c r="C29" s="7"/>
    </row>
    <row r="30">
      <c r="A30" s="7"/>
      <c r="B30" s="8"/>
      <c r="C30" s="7"/>
    </row>
    <row r="31">
      <c r="A31" s="7"/>
      <c r="B31" s="8"/>
      <c r="C31" s="7"/>
    </row>
    <row r="32">
      <c r="A32" s="7"/>
      <c r="B32" s="5"/>
      <c r="C32" s="7"/>
    </row>
    <row r="33">
      <c r="A33" s="7"/>
      <c r="B33" s="5"/>
      <c r="C33" s="7"/>
    </row>
    <row r="34">
      <c r="A34" s="7"/>
      <c r="B34" s="5"/>
      <c r="C34" s="7"/>
    </row>
    <row r="35">
      <c r="A35" s="7"/>
      <c r="B35" s="5"/>
      <c r="C35" s="7"/>
    </row>
    <row r="36">
      <c r="A36" s="7"/>
      <c r="B36" s="5"/>
      <c r="C36" s="7"/>
    </row>
    <row r="37">
      <c r="A37" s="7"/>
      <c r="B37" s="8"/>
      <c r="C37" s="7"/>
    </row>
    <row r="38">
      <c r="A38" s="7"/>
      <c r="B38" s="8"/>
      <c r="C38" s="7"/>
    </row>
    <row r="39">
      <c r="A39" s="7"/>
      <c r="B39" s="8"/>
      <c r="C39" s="7"/>
    </row>
    <row r="40">
      <c r="A40" s="7"/>
      <c r="B40" s="8"/>
      <c r="C40" s="7"/>
    </row>
    <row r="41">
      <c r="A41" s="7"/>
      <c r="B41" s="8"/>
      <c r="C41" s="7"/>
    </row>
    <row r="42">
      <c r="A42" s="7"/>
      <c r="B42" s="8"/>
      <c r="C42" s="7"/>
    </row>
    <row r="43">
      <c r="A43" s="7"/>
      <c r="B43" s="8"/>
      <c r="C43" s="7"/>
    </row>
    <row r="44">
      <c r="A44" s="7"/>
      <c r="B44" s="5"/>
      <c r="C44" s="7"/>
    </row>
    <row r="45">
      <c r="A45" s="7"/>
      <c r="B45" s="5"/>
      <c r="C45" s="7"/>
    </row>
    <row r="46">
      <c r="A46" s="7"/>
      <c r="B46" s="5"/>
      <c r="C46" s="7"/>
    </row>
    <row r="47">
      <c r="A47" s="7"/>
      <c r="B47" s="5"/>
      <c r="C47" s="7"/>
    </row>
    <row r="48">
      <c r="A48" s="7"/>
      <c r="B48" s="5"/>
      <c r="C48" s="7"/>
    </row>
    <row r="49">
      <c r="A49" s="7"/>
      <c r="B49" s="8"/>
      <c r="C49" s="7"/>
    </row>
    <row r="50">
      <c r="A50" s="7"/>
      <c r="B50" s="8"/>
      <c r="C50" s="7"/>
    </row>
    <row r="51">
      <c r="A51" s="7"/>
      <c r="B51" s="8"/>
      <c r="C51" s="7"/>
    </row>
    <row r="52">
      <c r="A52" s="7"/>
      <c r="B52" s="8"/>
      <c r="C52" s="7"/>
    </row>
    <row r="53">
      <c r="A53" s="7"/>
      <c r="B53" s="8"/>
      <c r="C53" s="7"/>
    </row>
    <row r="54">
      <c r="A54" s="7"/>
      <c r="B54" s="8"/>
      <c r="C54" s="7"/>
    </row>
    <row r="55">
      <c r="A55" s="7"/>
      <c r="B55" s="8"/>
      <c r="C55" s="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2026-06-25T10:06:40Z</dcterms:created>
  <dc:creator>Uq 607</dc:creator>
</cp:coreProperties>
</file>